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 - Emancipimi Civil Ma Ndryshe\Desktop\"/>
    </mc:Choice>
  </mc:AlternateContent>
  <xr:revisionPtr revIDLastSave="0" documentId="13_ncr:20001_{DB6BE7EE-0315-485D-8D50-DEA607841046}" xr6:coauthVersionLast="47" xr6:coauthVersionMax="47" xr10:uidLastSave="{00000000-0000-0000-0000-000000000000}"/>
  <bookViews>
    <workbookView xWindow="-98" yWindow="-98" windowWidth="19396" windowHeight="11475" tabRatio="500" firstSheet="3" activeTab="6" xr2:uid="{00000000-000D-0000-FFFF-FFFF00000000}"/>
  </bookViews>
  <sheets>
    <sheet name="0. Start Here" sheetId="1" r:id="rId1"/>
    <sheet name="1. Raw Data" sheetId="2" r:id="rId2"/>
    <sheet name="2. Clean Data" sheetId="3" r:id="rId3"/>
    <sheet name="3. Analysis" sheetId="4" r:id="rId4"/>
    <sheet name="4. Pivot Summary" sheetId="5" r:id="rId5"/>
    <sheet name="5. Charts" sheetId="6" r:id="rId6"/>
    <sheet name="6. Dashboard" sheetId="7" r:id="rId7"/>
  </sheets>
  <definedNames>
    <definedName name="_xlnm._FilterDatabase" localSheetId="1" hidden="1">'1. Raw Data'!$A$2:$M$402</definedName>
    <definedName name="_xlnm._FilterDatabase" localSheetId="2" hidden="1">'2. Clean Data'!$A$2:$Q$402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2" i="7" l="1"/>
  <c r="Q402" i="3" l="1"/>
  <c r="P402" i="3"/>
  <c r="N402" i="3"/>
  <c r="M402" i="3"/>
  <c r="L402" i="3"/>
  <c r="O402" i="3" s="1"/>
  <c r="K402" i="3"/>
  <c r="J402" i="3"/>
  <c r="I402" i="3"/>
  <c r="H402" i="3"/>
  <c r="G402" i="3"/>
  <c r="F402" i="3"/>
  <c r="E402" i="3"/>
  <c r="B402" i="3"/>
  <c r="A402" i="3"/>
  <c r="Q401" i="3"/>
  <c r="P401" i="3"/>
  <c r="N401" i="3"/>
  <c r="M401" i="3"/>
  <c r="L401" i="3"/>
  <c r="K401" i="3"/>
  <c r="J401" i="3"/>
  <c r="I401" i="3"/>
  <c r="H401" i="3"/>
  <c r="G401" i="3"/>
  <c r="F401" i="3"/>
  <c r="B401" i="3"/>
  <c r="D401" i="3" s="1"/>
  <c r="A401" i="3"/>
  <c r="Q400" i="3"/>
  <c r="P400" i="3"/>
  <c r="N400" i="3"/>
  <c r="M400" i="3"/>
  <c r="O400" i="3" s="1"/>
  <c r="L400" i="3"/>
  <c r="K400" i="3"/>
  <c r="J400" i="3"/>
  <c r="I400" i="3"/>
  <c r="H400" i="3"/>
  <c r="G400" i="3"/>
  <c r="F400" i="3"/>
  <c r="D400" i="3"/>
  <c r="B400" i="3"/>
  <c r="E400" i="3" s="1"/>
  <c r="A400" i="3"/>
  <c r="Q399" i="3"/>
  <c r="P399" i="3"/>
  <c r="N399" i="3"/>
  <c r="M399" i="3"/>
  <c r="L399" i="3"/>
  <c r="O399" i="3" s="1"/>
  <c r="K399" i="3"/>
  <c r="J399" i="3"/>
  <c r="I399" i="3"/>
  <c r="H399" i="3"/>
  <c r="G399" i="3"/>
  <c r="F399" i="3"/>
  <c r="D399" i="3"/>
  <c r="C399" i="3"/>
  <c r="B399" i="3"/>
  <c r="E399" i="3" s="1"/>
  <c r="A399" i="3"/>
  <c r="Q398" i="3"/>
  <c r="P398" i="3"/>
  <c r="N398" i="3"/>
  <c r="M398" i="3"/>
  <c r="L398" i="3"/>
  <c r="K398" i="3"/>
  <c r="J398" i="3"/>
  <c r="I398" i="3"/>
  <c r="H398" i="3"/>
  <c r="G398" i="3"/>
  <c r="F398" i="3"/>
  <c r="B398" i="3"/>
  <c r="A398" i="3"/>
  <c r="Q397" i="3"/>
  <c r="P397" i="3"/>
  <c r="N397" i="3"/>
  <c r="O397" i="3" s="1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Q396" i="3"/>
  <c r="P396" i="3"/>
  <c r="N396" i="3"/>
  <c r="O396" i="3" s="1"/>
  <c r="M396" i="3"/>
  <c r="L396" i="3"/>
  <c r="K396" i="3"/>
  <c r="J396" i="3"/>
  <c r="I396" i="3"/>
  <c r="H396" i="3"/>
  <c r="G396" i="3"/>
  <c r="F396" i="3"/>
  <c r="B396" i="3"/>
  <c r="A396" i="3"/>
  <c r="Q395" i="3"/>
  <c r="P395" i="3"/>
  <c r="N395" i="3"/>
  <c r="M395" i="3"/>
  <c r="L395" i="3"/>
  <c r="K395" i="3"/>
  <c r="J395" i="3"/>
  <c r="I395" i="3"/>
  <c r="H395" i="3"/>
  <c r="G395" i="3"/>
  <c r="F395" i="3"/>
  <c r="B395" i="3"/>
  <c r="C395" i="3" s="1"/>
  <c r="A395" i="3"/>
  <c r="Q394" i="3"/>
  <c r="P394" i="3"/>
  <c r="N394" i="3"/>
  <c r="O394" i="3" s="1"/>
  <c r="M394" i="3"/>
  <c r="L394" i="3"/>
  <c r="K394" i="3"/>
  <c r="J394" i="3"/>
  <c r="I394" i="3"/>
  <c r="H394" i="3"/>
  <c r="G394" i="3"/>
  <c r="F394" i="3"/>
  <c r="E394" i="3"/>
  <c r="D394" i="3"/>
  <c r="B394" i="3"/>
  <c r="C394" i="3" s="1"/>
  <c r="A394" i="3"/>
  <c r="Q393" i="3"/>
  <c r="P393" i="3"/>
  <c r="N393" i="3"/>
  <c r="M393" i="3"/>
  <c r="L393" i="3"/>
  <c r="O393" i="3" s="1"/>
  <c r="K393" i="3"/>
  <c r="J393" i="3"/>
  <c r="I393" i="3"/>
  <c r="H393" i="3"/>
  <c r="G393" i="3"/>
  <c r="F393" i="3"/>
  <c r="B393" i="3"/>
  <c r="A393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B392" i="3"/>
  <c r="E392" i="3" s="1"/>
  <c r="A392" i="3"/>
  <c r="Q391" i="3"/>
  <c r="P391" i="3"/>
  <c r="N391" i="3"/>
  <c r="M391" i="3"/>
  <c r="O391" i="3" s="1"/>
  <c r="L391" i="3"/>
  <c r="K391" i="3"/>
  <c r="J391" i="3"/>
  <c r="I391" i="3"/>
  <c r="H391" i="3"/>
  <c r="G391" i="3"/>
  <c r="F391" i="3"/>
  <c r="E391" i="3"/>
  <c r="D391" i="3"/>
  <c r="B391" i="3"/>
  <c r="C391" i="3" s="1"/>
  <c r="A391" i="3"/>
  <c r="Q390" i="3"/>
  <c r="P390" i="3"/>
  <c r="N390" i="3"/>
  <c r="M390" i="3"/>
  <c r="L390" i="3"/>
  <c r="K390" i="3"/>
  <c r="J390" i="3"/>
  <c r="I390" i="3"/>
  <c r="H390" i="3"/>
  <c r="G390" i="3"/>
  <c r="F390" i="3"/>
  <c r="C390" i="3"/>
  <c r="B390" i="3"/>
  <c r="E390" i="3" s="1"/>
  <c r="A390" i="3"/>
  <c r="Q389" i="3"/>
  <c r="P389" i="3"/>
  <c r="N389" i="3"/>
  <c r="O389" i="3" s="1"/>
  <c r="M389" i="3"/>
  <c r="L389" i="3"/>
  <c r="K389" i="3"/>
  <c r="J389" i="3"/>
  <c r="I389" i="3"/>
  <c r="H389" i="3"/>
  <c r="G389" i="3"/>
  <c r="F389" i="3"/>
  <c r="E389" i="3"/>
  <c r="D389" i="3"/>
  <c r="C389" i="3"/>
  <c r="B389" i="3"/>
  <c r="A389" i="3"/>
  <c r="Q388" i="3"/>
  <c r="P388" i="3"/>
  <c r="N388" i="3"/>
  <c r="M388" i="3"/>
  <c r="L388" i="3"/>
  <c r="O388" i="3" s="1"/>
  <c r="K388" i="3"/>
  <c r="J388" i="3"/>
  <c r="I388" i="3"/>
  <c r="H388" i="3"/>
  <c r="G388" i="3"/>
  <c r="F388" i="3"/>
  <c r="B388" i="3"/>
  <c r="A388" i="3"/>
  <c r="Q387" i="3"/>
  <c r="P387" i="3"/>
  <c r="N387" i="3"/>
  <c r="M387" i="3"/>
  <c r="O387" i="3" s="1"/>
  <c r="L387" i="3"/>
  <c r="K387" i="3"/>
  <c r="J387" i="3"/>
  <c r="I387" i="3"/>
  <c r="H387" i="3"/>
  <c r="G387" i="3"/>
  <c r="F387" i="3"/>
  <c r="E387" i="3"/>
  <c r="D387" i="3"/>
  <c r="C387" i="3"/>
  <c r="B387" i="3"/>
  <c r="A387" i="3"/>
  <c r="Q386" i="3"/>
  <c r="P386" i="3"/>
  <c r="N386" i="3"/>
  <c r="M386" i="3"/>
  <c r="O386" i="3" s="1"/>
  <c r="L386" i="3"/>
  <c r="K386" i="3"/>
  <c r="J386" i="3"/>
  <c r="I386" i="3"/>
  <c r="H386" i="3"/>
  <c r="G386" i="3"/>
  <c r="F386" i="3"/>
  <c r="E386" i="3"/>
  <c r="D386" i="3"/>
  <c r="C386" i="3"/>
  <c r="B386" i="3"/>
  <c r="A386" i="3"/>
  <c r="Q385" i="3"/>
  <c r="P385" i="3"/>
  <c r="N385" i="3"/>
  <c r="M385" i="3"/>
  <c r="L385" i="3"/>
  <c r="K385" i="3"/>
  <c r="J385" i="3"/>
  <c r="I385" i="3"/>
  <c r="H385" i="3"/>
  <c r="G385" i="3"/>
  <c r="F385" i="3"/>
  <c r="B385" i="3"/>
  <c r="A385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B384" i="3"/>
  <c r="D384" i="3" s="1"/>
  <c r="A384" i="3"/>
  <c r="Q383" i="3"/>
  <c r="P383" i="3"/>
  <c r="N383" i="3"/>
  <c r="O383" i="3" s="1"/>
  <c r="M383" i="3"/>
  <c r="L383" i="3"/>
  <c r="K383" i="3"/>
  <c r="J383" i="3"/>
  <c r="I383" i="3"/>
  <c r="H383" i="3"/>
  <c r="G383" i="3"/>
  <c r="F383" i="3"/>
  <c r="E383" i="3"/>
  <c r="D383" i="3"/>
  <c r="B383" i="3"/>
  <c r="C383" i="3" s="1"/>
  <c r="A383" i="3"/>
  <c r="Q382" i="3"/>
  <c r="P382" i="3"/>
  <c r="N382" i="3"/>
  <c r="M382" i="3"/>
  <c r="L382" i="3"/>
  <c r="K382" i="3"/>
  <c r="J382" i="3"/>
  <c r="I382" i="3"/>
  <c r="H382" i="3"/>
  <c r="G382" i="3"/>
  <c r="F382" i="3"/>
  <c r="E382" i="3"/>
  <c r="D382" i="3"/>
  <c r="B382" i="3"/>
  <c r="C382" i="3" s="1"/>
  <c r="A382" i="3"/>
  <c r="Q381" i="3"/>
  <c r="P381" i="3"/>
  <c r="N381" i="3"/>
  <c r="M381" i="3"/>
  <c r="O381" i="3" s="1"/>
  <c r="L381" i="3"/>
  <c r="K381" i="3"/>
  <c r="J381" i="3"/>
  <c r="I381" i="3"/>
  <c r="H381" i="3"/>
  <c r="G381" i="3"/>
  <c r="F381" i="3"/>
  <c r="E381" i="3"/>
  <c r="C381" i="3"/>
  <c r="B381" i="3"/>
  <c r="D381" i="3" s="1"/>
  <c r="A381" i="3"/>
  <c r="Q380" i="3"/>
  <c r="P380" i="3"/>
  <c r="N380" i="3"/>
  <c r="O380" i="3" s="1"/>
  <c r="M380" i="3"/>
  <c r="L380" i="3"/>
  <c r="K380" i="3"/>
  <c r="J380" i="3"/>
  <c r="I380" i="3"/>
  <c r="H380" i="3"/>
  <c r="G380" i="3"/>
  <c r="F380" i="3"/>
  <c r="E380" i="3"/>
  <c r="B380" i="3"/>
  <c r="D380" i="3" s="1"/>
  <c r="A380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B379" i="3"/>
  <c r="A379" i="3"/>
  <c r="Q378" i="3"/>
  <c r="P378" i="3"/>
  <c r="N378" i="3"/>
  <c r="M378" i="3"/>
  <c r="L378" i="3"/>
  <c r="K378" i="3"/>
  <c r="J378" i="3"/>
  <c r="I378" i="3"/>
  <c r="H378" i="3"/>
  <c r="G378" i="3"/>
  <c r="F378" i="3"/>
  <c r="D378" i="3"/>
  <c r="B378" i="3"/>
  <c r="A378" i="3"/>
  <c r="Q377" i="3"/>
  <c r="P377" i="3"/>
  <c r="N377" i="3"/>
  <c r="M377" i="3"/>
  <c r="O377" i="3" s="1"/>
  <c r="L377" i="3"/>
  <c r="K377" i="3"/>
  <c r="J377" i="3"/>
  <c r="I377" i="3"/>
  <c r="H377" i="3"/>
  <c r="G377" i="3"/>
  <c r="F377" i="3"/>
  <c r="E377" i="3"/>
  <c r="D377" i="3"/>
  <c r="B377" i="3"/>
  <c r="C377" i="3" s="1"/>
  <c r="A377" i="3"/>
  <c r="Q376" i="3"/>
  <c r="P376" i="3"/>
  <c r="N376" i="3"/>
  <c r="M376" i="3"/>
  <c r="L376" i="3"/>
  <c r="K376" i="3"/>
  <c r="J376" i="3"/>
  <c r="I376" i="3"/>
  <c r="H376" i="3"/>
  <c r="G376" i="3"/>
  <c r="F376" i="3"/>
  <c r="B376" i="3"/>
  <c r="E376" i="3" s="1"/>
  <c r="A376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A375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B374" i="3"/>
  <c r="C374" i="3" s="1"/>
  <c r="A374" i="3"/>
  <c r="Q373" i="3"/>
  <c r="P373" i="3"/>
  <c r="N373" i="3"/>
  <c r="M373" i="3"/>
  <c r="O373" i="3" s="1"/>
  <c r="L373" i="3"/>
  <c r="K373" i="3"/>
  <c r="J373" i="3"/>
  <c r="I373" i="3"/>
  <c r="H373" i="3"/>
  <c r="G373" i="3"/>
  <c r="F373" i="3"/>
  <c r="C373" i="3"/>
  <c r="B373" i="3"/>
  <c r="A373" i="3"/>
  <c r="Q372" i="3"/>
  <c r="P372" i="3"/>
  <c r="N372" i="3"/>
  <c r="M372" i="3"/>
  <c r="O372" i="3" s="1"/>
  <c r="L372" i="3"/>
  <c r="K372" i="3"/>
  <c r="J372" i="3"/>
  <c r="I372" i="3"/>
  <c r="H372" i="3"/>
  <c r="G372" i="3"/>
  <c r="F372" i="3"/>
  <c r="E372" i="3"/>
  <c r="D372" i="3"/>
  <c r="C372" i="3"/>
  <c r="B372" i="3"/>
  <c r="A372" i="3"/>
  <c r="Q371" i="3"/>
  <c r="P371" i="3"/>
  <c r="N371" i="3"/>
  <c r="M371" i="3"/>
  <c r="L371" i="3"/>
  <c r="K371" i="3"/>
  <c r="J371" i="3"/>
  <c r="I371" i="3"/>
  <c r="H371" i="3"/>
  <c r="G371" i="3"/>
  <c r="F371" i="3"/>
  <c r="B371" i="3"/>
  <c r="A371" i="3"/>
  <c r="Q370" i="3"/>
  <c r="P370" i="3"/>
  <c r="N370" i="3"/>
  <c r="M370" i="3"/>
  <c r="L370" i="3"/>
  <c r="K370" i="3"/>
  <c r="J370" i="3"/>
  <c r="I370" i="3"/>
  <c r="H370" i="3"/>
  <c r="G370" i="3"/>
  <c r="F370" i="3"/>
  <c r="B370" i="3"/>
  <c r="D370" i="3" s="1"/>
  <c r="A370" i="3"/>
  <c r="Q369" i="3"/>
  <c r="P369" i="3"/>
  <c r="N369" i="3"/>
  <c r="O369" i="3" s="1"/>
  <c r="M369" i="3"/>
  <c r="L369" i="3"/>
  <c r="K369" i="3"/>
  <c r="J369" i="3"/>
  <c r="I369" i="3"/>
  <c r="H369" i="3"/>
  <c r="G369" i="3"/>
  <c r="F369" i="3"/>
  <c r="D369" i="3"/>
  <c r="B369" i="3"/>
  <c r="E369" i="3" s="1"/>
  <c r="A369" i="3"/>
  <c r="Q368" i="3"/>
  <c r="P368" i="3"/>
  <c r="N368" i="3"/>
  <c r="M368" i="3"/>
  <c r="O368" i="3" s="1"/>
  <c r="L368" i="3"/>
  <c r="K368" i="3"/>
  <c r="J368" i="3"/>
  <c r="I368" i="3"/>
  <c r="H368" i="3"/>
  <c r="G368" i="3"/>
  <c r="F368" i="3"/>
  <c r="B368" i="3"/>
  <c r="E368" i="3" s="1"/>
  <c r="A368" i="3"/>
  <c r="Q367" i="3"/>
  <c r="P367" i="3"/>
  <c r="N367" i="3"/>
  <c r="M367" i="3"/>
  <c r="L367" i="3"/>
  <c r="O367" i="3" s="1"/>
  <c r="K367" i="3"/>
  <c r="J367" i="3"/>
  <c r="I367" i="3"/>
  <c r="H367" i="3"/>
  <c r="G367" i="3"/>
  <c r="F367" i="3"/>
  <c r="E367" i="3"/>
  <c r="D367" i="3"/>
  <c r="C367" i="3"/>
  <c r="B367" i="3"/>
  <c r="A367" i="3"/>
  <c r="Q366" i="3"/>
  <c r="P366" i="3"/>
  <c r="N366" i="3"/>
  <c r="M366" i="3"/>
  <c r="O366" i="3" s="1"/>
  <c r="L366" i="3"/>
  <c r="K366" i="3"/>
  <c r="J366" i="3"/>
  <c r="I366" i="3"/>
  <c r="H366" i="3"/>
  <c r="G366" i="3"/>
  <c r="F366" i="3"/>
  <c r="E366" i="3"/>
  <c r="D366" i="3"/>
  <c r="B366" i="3"/>
  <c r="C366" i="3" s="1"/>
  <c r="A366" i="3"/>
  <c r="Q365" i="3"/>
  <c r="P365" i="3"/>
  <c r="N365" i="3"/>
  <c r="M365" i="3"/>
  <c r="L365" i="3"/>
  <c r="O365" i="3" s="1"/>
  <c r="K365" i="3"/>
  <c r="J365" i="3"/>
  <c r="I365" i="3"/>
  <c r="H365" i="3"/>
  <c r="G365" i="3"/>
  <c r="F365" i="3"/>
  <c r="C365" i="3"/>
  <c r="B365" i="3"/>
  <c r="E365" i="3" s="1"/>
  <c r="A365" i="3"/>
  <c r="Q364" i="3"/>
  <c r="P364" i="3"/>
  <c r="N364" i="3"/>
  <c r="M364" i="3"/>
  <c r="L364" i="3"/>
  <c r="O364" i="3" s="1"/>
  <c r="K364" i="3"/>
  <c r="J364" i="3"/>
  <c r="I364" i="3"/>
  <c r="H364" i="3"/>
  <c r="G364" i="3"/>
  <c r="F364" i="3"/>
  <c r="E364" i="3"/>
  <c r="D364" i="3"/>
  <c r="C364" i="3"/>
  <c r="B364" i="3"/>
  <c r="A364" i="3"/>
  <c r="Q363" i="3"/>
  <c r="P363" i="3"/>
  <c r="N363" i="3"/>
  <c r="M363" i="3"/>
  <c r="L363" i="3"/>
  <c r="O363" i="3" s="1"/>
  <c r="K363" i="3"/>
  <c r="J363" i="3"/>
  <c r="I363" i="3"/>
  <c r="H363" i="3"/>
  <c r="G363" i="3"/>
  <c r="F363" i="3"/>
  <c r="B363" i="3"/>
  <c r="E363" i="3" s="1"/>
  <c r="A363" i="3"/>
  <c r="Q362" i="3"/>
  <c r="P362" i="3"/>
  <c r="N362" i="3"/>
  <c r="M362" i="3"/>
  <c r="O362" i="3" s="1"/>
  <c r="L362" i="3"/>
  <c r="K362" i="3"/>
  <c r="J362" i="3"/>
  <c r="I362" i="3"/>
  <c r="H362" i="3"/>
  <c r="G362" i="3"/>
  <c r="F362" i="3"/>
  <c r="E362" i="3"/>
  <c r="D362" i="3"/>
  <c r="C362" i="3"/>
  <c r="B362" i="3"/>
  <c r="A362" i="3"/>
  <c r="Q361" i="3"/>
  <c r="P361" i="3"/>
  <c r="N361" i="3"/>
  <c r="O361" i="3" s="1"/>
  <c r="M361" i="3"/>
  <c r="L361" i="3"/>
  <c r="K361" i="3"/>
  <c r="J361" i="3"/>
  <c r="I361" i="3"/>
  <c r="H361" i="3"/>
  <c r="G361" i="3"/>
  <c r="F361" i="3"/>
  <c r="B361" i="3"/>
  <c r="A361" i="3"/>
  <c r="Q360" i="3"/>
  <c r="P360" i="3"/>
  <c r="N360" i="3"/>
  <c r="M360" i="3"/>
  <c r="O360" i="3" s="1"/>
  <c r="L360" i="3"/>
  <c r="K360" i="3"/>
  <c r="J360" i="3"/>
  <c r="I360" i="3"/>
  <c r="H360" i="3"/>
  <c r="G360" i="3"/>
  <c r="F360" i="3"/>
  <c r="B360" i="3"/>
  <c r="A360" i="3"/>
  <c r="Q359" i="3"/>
  <c r="P359" i="3"/>
  <c r="N359" i="3"/>
  <c r="M359" i="3"/>
  <c r="L359" i="3"/>
  <c r="K359" i="3"/>
  <c r="J359" i="3"/>
  <c r="I359" i="3"/>
  <c r="H359" i="3"/>
  <c r="G359" i="3"/>
  <c r="F359" i="3"/>
  <c r="B359" i="3"/>
  <c r="E359" i="3" s="1"/>
  <c r="A359" i="3"/>
  <c r="Q358" i="3"/>
  <c r="P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Q356" i="3"/>
  <c r="P356" i="3"/>
  <c r="N356" i="3"/>
  <c r="M356" i="3"/>
  <c r="L356" i="3"/>
  <c r="K356" i="3"/>
  <c r="J356" i="3"/>
  <c r="I356" i="3"/>
  <c r="H356" i="3"/>
  <c r="G356" i="3"/>
  <c r="F356" i="3"/>
  <c r="D356" i="3"/>
  <c r="B356" i="3"/>
  <c r="E356" i="3" s="1"/>
  <c r="A356" i="3"/>
  <c r="Q355" i="3"/>
  <c r="P355" i="3"/>
  <c r="N355" i="3"/>
  <c r="O355" i="3" s="1"/>
  <c r="M355" i="3"/>
  <c r="L355" i="3"/>
  <c r="K355" i="3"/>
  <c r="J355" i="3"/>
  <c r="I355" i="3"/>
  <c r="H355" i="3"/>
  <c r="G355" i="3"/>
  <c r="F355" i="3"/>
  <c r="D355" i="3"/>
  <c r="C355" i="3"/>
  <c r="B355" i="3"/>
  <c r="E355" i="3" s="1"/>
  <c r="A355" i="3"/>
  <c r="Q354" i="3"/>
  <c r="P354" i="3"/>
  <c r="N354" i="3"/>
  <c r="O354" i="3" s="1"/>
  <c r="M354" i="3"/>
  <c r="L354" i="3"/>
  <c r="K354" i="3"/>
  <c r="J354" i="3"/>
  <c r="I354" i="3"/>
  <c r="H354" i="3"/>
  <c r="G354" i="3"/>
  <c r="F354" i="3"/>
  <c r="B354" i="3"/>
  <c r="A354" i="3"/>
  <c r="Q353" i="3"/>
  <c r="P353" i="3"/>
  <c r="N353" i="3"/>
  <c r="M353" i="3"/>
  <c r="L353" i="3"/>
  <c r="O353" i="3" s="1"/>
  <c r="K353" i="3"/>
  <c r="J353" i="3"/>
  <c r="I353" i="3"/>
  <c r="H353" i="3"/>
  <c r="G353" i="3"/>
  <c r="F353" i="3"/>
  <c r="C353" i="3"/>
  <c r="B353" i="3"/>
  <c r="E353" i="3" s="1"/>
  <c r="A353" i="3"/>
  <c r="Q352" i="3"/>
  <c r="P352" i="3"/>
  <c r="N352" i="3"/>
  <c r="M352" i="3"/>
  <c r="O352" i="3" s="1"/>
  <c r="L352" i="3"/>
  <c r="K352" i="3"/>
  <c r="J352" i="3"/>
  <c r="I352" i="3"/>
  <c r="H352" i="3"/>
  <c r="G352" i="3"/>
  <c r="F352" i="3"/>
  <c r="E352" i="3"/>
  <c r="D352" i="3"/>
  <c r="C352" i="3"/>
  <c r="B352" i="3"/>
  <c r="A352" i="3"/>
  <c r="Q351" i="3"/>
  <c r="P351" i="3"/>
  <c r="N351" i="3"/>
  <c r="M351" i="3"/>
  <c r="L351" i="3"/>
  <c r="K351" i="3"/>
  <c r="J351" i="3"/>
  <c r="I351" i="3"/>
  <c r="H351" i="3"/>
  <c r="G351" i="3"/>
  <c r="F351" i="3"/>
  <c r="B351" i="3"/>
  <c r="E351" i="3" s="1"/>
  <c r="A351" i="3"/>
  <c r="Q350" i="3"/>
  <c r="P350" i="3"/>
  <c r="N350" i="3"/>
  <c r="M350" i="3"/>
  <c r="O350" i="3" s="1"/>
  <c r="L350" i="3"/>
  <c r="K350" i="3"/>
  <c r="J350" i="3"/>
  <c r="I350" i="3"/>
  <c r="H350" i="3"/>
  <c r="G350" i="3"/>
  <c r="F350" i="3"/>
  <c r="E350" i="3"/>
  <c r="D350" i="3"/>
  <c r="B350" i="3"/>
  <c r="C350" i="3" s="1"/>
  <c r="A350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B349" i="3"/>
  <c r="E349" i="3" s="1"/>
  <c r="A349" i="3"/>
  <c r="Q348" i="3"/>
  <c r="P348" i="3"/>
  <c r="N348" i="3"/>
  <c r="M348" i="3"/>
  <c r="O348" i="3" s="1"/>
  <c r="L348" i="3"/>
  <c r="K348" i="3"/>
  <c r="J348" i="3"/>
  <c r="I348" i="3"/>
  <c r="H348" i="3"/>
  <c r="G348" i="3"/>
  <c r="F348" i="3"/>
  <c r="B348" i="3"/>
  <c r="A348" i="3"/>
  <c r="Q347" i="3"/>
  <c r="P347" i="3"/>
  <c r="N347" i="3"/>
  <c r="M347" i="3"/>
  <c r="O347" i="3" s="1"/>
  <c r="L347" i="3"/>
  <c r="K347" i="3"/>
  <c r="J347" i="3"/>
  <c r="I347" i="3"/>
  <c r="H347" i="3"/>
  <c r="G347" i="3"/>
  <c r="F347" i="3"/>
  <c r="E347" i="3"/>
  <c r="D347" i="3"/>
  <c r="C347" i="3"/>
  <c r="B347" i="3"/>
  <c r="A347" i="3"/>
  <c r="Q346" i="3"/>
  <c r="P346" i="3"/>
  <c r="N346" i="3"/>
  <c r="O346" i="3" s="1"/>
  <c r="M346" i="3"/>
  <c r="L346" i="3"/>
  <c r="K346" i="3"/>
  <c r="J346" i="3"/>
  <c r="I346" i="3"/>
  <c r="H346" i="3"/>
  <c r="G346" i="3"/>
  <c r="F346" i="3"/>
  <c r="B346" i="3"/>
  <c r="A346" i="3"/>
  <c r="Q345" i="3"/>
  <c r="P345" i="3"/>
  <c r="N345" i="3"/>
  <c r="M345" i="3"/>
  <c r="O345" i="3" s="1"/>
  <c r="L345" i="3"/>
  <c r="K345" i="3"/>
  <c r="J345" i="3"/>
  <c r="I345" i="3"/>
  <c r="H345" i="3"/>
  <c r="G345" i="3"/>
  <c r="F345" i="3"/>
  <c r="E345" i="3"/>
  <c r="D345" i="3"/>
  <c r="B345" i="3"/>
  <c r="C345" i="3" s="1"/>
  <c r="A345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A344" i="3"/>
  <c r="Q343" i="3"/>
  <c r="P343" i="3"/>
  <c r="N343" i="3"/>
  <c r="M343" i="3"/>
  <c r="L343" i="3"/>
  <c r="K343" i="3"/>
  <c r="J343" i="3"/>
  <c r="I343" i="3"/>
  <c r="H343" i="3"/>
  <c r="G343" i="3"/>
  <c r="F343" i="3"/>
  <c r="D343" i="3"/>
  <c r="C343" i="3"/>
  <c r="B343" i="3"/>
  <c r="E343" i="3" s="1"/>
  <c r="A343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C342" i="3"/>
  <c r="B342" i="3"/>
  <c r="E342" i="3" s="1"/>
  <c r="A342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B341" i="3"/>
  <c r="D341" i="3" s="1"/>
  <c r="A341" i="3"/>
  <c r="Q340" i="3"/>
  <c r="P340" i="3"/>
  <c r="N340" i="3"/>
  <c r="M340" i="3"/>
  <c r="L340" i="3"/>
  <c r="K340" i="3"/>
  <c r="J340" i="3"/>
  <c r="I340" i="3"/>
  <c r="H340" i="3"/>
  <c r="G340" i="3"/>
  <c r="F340" i="3"/>
  <c r="B340" i="3"/>
  <c r="A340" i="3"/>
  <c r="Q339" i="3"/>
  <c r="P339" i="3"/>
  <c r="N339" i="3"/>
  <c r="O339" i="3" s="1"/>
  <c r="M339" i="3"/>
  <c r="L339" i="3"/>
  <c r="K339" i="3"/>
  <c r="J339" i="3"/>
  <c r="I339" i="3"/>
  <c r="H339" i="3"/>
  <c r="G339" i="3"/>
  <c r="F339" i="3"/>
  <c r="E339" i="3"/>
  <c r="D339" i="3"/>
  <c r="C339" i="3"/>
  <c r="B339" i="3"/>
  <c r="A339" i="3"/>
  <c r="Q338" i="3"/>
  <c r="P338" i="3"/>
  <c r="N338" i="3"/>
  <c r="M338" i="3"/>
  <c r="L338" i="3"/>
  <c r="K338" i="3"/>
  <c r="J338" i="3"/>
  <c r="I338" i="3"/>
  <c r="H338" i="3"/>
  <c r="G338" i="3"/>
  <c r="F338" i="3"/>
  <c r="B338" i="3"/>
  <c r="C338" i="3" s="1"/>
  <c r="A338" i="3"/>
  <c r="Q337" i="3"/>
  <c r="P337" i="3"/>
  <c r="N337" i="3"/>
  <c r="M337" i="3"/>
  <c r="O337" i="3" s="1"/>
  <c r="L337" i="3"/>
  <c r="K337" i="3"/>
  <c r="J337" i="3"/>
  <c r="I337" i="3"/>
  <c r="H337" i="3"/>
  <c r="G337" i="3"/>
  <c r="F337" i="3"/>
  <c r="B337" i="3"/>
  <c r="E337" i="3" s="1"/>
  <c r="A337" i="3"/>
  <c r="Q336" i="3"/>
  <c r="P336" i="3"/>
  <c r="N336" i="3"/>
  <c r="M336" i="3"/>
  <c r="O336" i="3" s="1"/>
  <c r="L336" i="3"/>
  <c r="K336" i="3"/>
  <c r="J336" i="3"/>
  <c r="I336" i="3"/>
  <c r="H336" i="3"/>
  <c r="G336" i="3"/>
  <c r="F336" i="3"/>
  <c r="E336" i="3"/>
  <c r="D336" i="3"/>
  <c r="C336" i="3"/>
  <c r="B336" i="3"/>
  <c r="A336" i="3"/>
  <c r="Q335" i="3"/>
  <c r="P335" i="3"/>
  <c r="N335" i="3"/>
  <c r="M335" i="3"/>
  <c r="L335" i="3"/>
  <c r="K335" i="3"/>
  <c r="J335" i="3"/>
  <c r="I335" i="3"/>
  <c r="H335" i="3"/>
  <c r="G335" i="3"/>
  <c r="F335" i="3"/>
  <c r="B335" i="3"/>
  <c r="A335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B334" i="3"/>
  <c r="A334" i="3"/>
  <c r="Q333" i="3"/>
  <c r="P333" i="3"/>
  <c r="N333" i="3"/>
  <c r="M333" i="3"/>
  <c r="O333" i="3" s="1"/>
  <c r="L333" i="3"/>
  <c r="K333" i="3"/>
  <c r="J333" i="3"/>
  <c r="I333" i="3"/>
  <c r="H333" i="3"/>
  <c r="G333" i="3"/>
  <c r="F333" i="3"/>
  <c r="E333" i="3"/>
  <c r="D333" i="3"/>
  <c r="C333" i="3"/>
  <c r="B333" i="3"/>
  <c r="A333" i="3"/>
  <c r="Q332" i="3"/>
  <c r="P332" i="3"/>
  <c r="N332" i="3"/>
  <c r="M332" i="3"/>
  <c r="L332" i="3"/>
  <c r="O332" i="3" s="1"/>
  <c r="K332" i="3"/>
  <c r="J332" i="3"/>
  <c r="I332" i="3"/>
  <c r="H332" i="3"/>
  <c r="G332" i="3"/>
  <c r="F332" i="3"/>
  <c r="C332" i="3"/>
  <c r="B332" i="3"/>
  <c r="E332" i="3" s="1"/>
  <c r="A332" i="3"/>
  <c r="Q331" i="3"/>
  <c r="P331" i="3"/>
  <c r="N331" i="3"/>
  <c r="M331" i="3"/>
  <c r="O331" i="3" s="1"/>
  <c r="L331" i="3"/>
  <c r="K331" i="3"/>
  <c r="J331" i="3"/>
  <c r="I331" i="3"/>
  <c r="H331" i="3"/>
  <c r="G331" i="3"/>
  <c r="F331" i="3"/>
  <c r="E331" i="3"/>
  <c r="D331" i="3"/>
  <c r="C331" i="3"/>
  <c r="B331" i="3"/>
  <c r="A331" i="3"/>
  <c r="Q330" i="3"/>
  <c r="P330" i="3"/>
  <c r="N330" i="3"/>
  <c r="O330" i="3" s="1"/>
  <c r="M330" i="3"/>
  <c r="L330" i="3"/>
  <c r="K330" i="3"/>
  <c r="J330" i="3"/>
  <c r="I330" i="3"/>
  <c r="H330" i="3"/>
  <c r="G330" i="3"/>
  <c r="F330" i="3"/>
  <c r="B330" i="3"/>
  <c r="D330" i="3" s="1"/>
  <c r="A330" i="3"/>
  <c r="Q329" i="3"/>
  <c r="P329" i="3"/>
  <c r="N329" i="3"/>
  <c r="M329" i="3"/>
  <c r="O329" i="3" s="1"/>
  <c r="L329" i="3"/>
  <c r="K329" i="3"/>
  <c r="J329" i="3"/>
  <c r="I329" i="3"/>
  <c r="H329" i="3"/>
  <c r="G329" i="3"/>
  <c r="F329" i="3"/>
  <c r="C329" i="3"/>
  <c r="B329" i="3"/>
  <c r="A329" i="3"/>
  <c r="Q328" i="3"/>
  <c r="P328" i="3"/>
  <c r="N328" i="3"/>
  <c r="M328" i="3"/>
  <c r="O328" i="3" s="1"/>
  <c r="L328" i="3"/>
  <c r="K328" i="3"/>
  <c r="J328" i="3"/>
  <c r="I328" i="3"/>
  <c r="H328" i="3"/>
  <c r="G328" i="3"/>
  <c r="F328" i="3"/>
  <c r="B328" i="3"/>
  <c r="E328" i="3" s="1"/>
  <c r="A328" i="3"/>
  <c r="Q327" i="3"/>
  <c r="P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A327" i="3"/>
  <c r="Q326" i="3"/>
  <c r="P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A326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B325" i="3"/>
  <c r="A325" i="3"/>
  <c r="Q324" i="3"/>
  <c r="P324" i="3"/>
  <c r="N324" i="3"/>
  <c r="M324" i="3"/>
  <c r="L324" i="3"/>
  <c r="O324" i="3" s="1"/>
  <c r="K324" i="3"/>
  <c r="J324" i="3"/>
  <c r="I324" i="3"/>
  <c r="H324" i="3"/>
  <c r="G324" i="3"/>
  <c r="F324" i="3"/>
  <c r="B324" i="3"/>
  <c r="A324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B323" i="3"/>
  <c r="E323" i="3" s="1"/>
  <c r="A323" i="3"/>
  <c r="Q322" i="3"/>
  <c r="P322" i="3"/>
  <c r="N322" i="3"/>
  <c r="O322" i="3" s="1"/>
  <c r="M322" i="3"/>
  <c r="L322" i="3"/>
  <c r="K322" i="3"/>
  <c r="J322" i="3"/>
  <c r="I322" i="3"/>
  <c r="H322" i="3"/>
  <c r="G322" i="3"/>
  <c r="F322" i="3"/>
  <c r="E322" i="3"/>
  <c r="D322" i="3"/>
  <c r="B322" i="3"/>
  <c r="C322" i="3" s="1"/>
  <c r="A322" i="3"/>
  <c r="Q321" i="3"/>
  <c r="P321" i="3"/>
  <c r="N321" i="3"/>
  <c r="M321" i="3"/>
  <c r="L321" i="3"/>
  <c r="O321" i="3" s="1"/>
  <c r="K321" i="3"/>
  <c r="J321" i="3"/>
  <c r="I321" i="3"/>
  <c r="H321" i="3"/>
  <c r="G321" i="3"/>
  <c r="F321" i="3"/>
  <c r="B321" i="3"/>
  <c r="A321" i="3"/>
  <c r="Q320" i="3"/>
  <c r="P320" i="3"/>
  <c r="N320" i="3"/>
  <c r="M320" i="3"/>
  <c r="O320" i="3" s="1"/>
  <c r="L320" i="3"/>
  <c r="K320" i="3"/>
  <c r="J320" i="3"/>
  <c r="I320" i="3"/>
  <c r="H320" i="3"/>
  <c r="G320" i="3"/>
  <c r="F320" i="3"/>
  <c r="B320" i="3"/>
  <c r="E320" i="3" s="1"/>
  <c r="A320" i="3"/>
  <c r="Q319" i="3"/>
  <c r="P319" i="3"/>
  <c r="N319" i="3"/>
  <c r="O319" i="3" s="1"/>
  <c r="M319" i="3"/>
  <c r="L319" i="3"/>
  <c r="K319" i="3"/>
  <c r="J319" i="3"/>
  <c r="I319" i="3"/>
  <c r="H319" i="3"/>
  <c r="G319" i="3"/>
  <c r="F319" i="3"/>
  <c r="D319" i="3"/>
  <c r="C319" i="3"/>
  <c r="B319" i="3"/>
  <c r="E319" i="3" s="1"/>
  <c r="A319" i="3"/>
  <c r="Q318" i="3"/>
  <c r="P318" i="3"/>
  <c r="N318" i="3"/>
  <c r="M318" i="3"/>
  <c r="L318" i="3"/>
  <c r="K318" i="3"/>
  <c r="J318" i="3"/>
  <c r="I318" i="3"/>
  <c r="H318" i="3"/>
  <c r="G318" i="3"/>
  <c r="F318" i="3"/>
  <c r="E318" i="3"/>
  <c r="B318" i="3"/>
  <c r="D318" i="3" s="1"/>
  <c r="A318" i="3"/>
  <c r="Q317" i="3"/>
  <c r="P317" i="3"/>
  <c r="N317" i="3"/>
  <c r="M317" i="3"/>
  <c r="O317" i="3" s="1"/>
  <c r="L317" i="3"/>
  <c r="K317" i="3"/>
  <c r="J317" i="3"/>
  <c r="I317" i="3"/>
  <c r="H317" i="3"/>
  <c r="G317" i="3"/>
  <c r="F317" i="3"/>
  <c r="C317" i="3"/>
  <c r="B317" i="3"/>
  <c r="A317" i="3"/>
  <c r="Q316" i="3"/>
  <c r="P316" i="3"/>
  <c r="N316" i="3"/>
  <c r="M316" i="3"/>
  <c r="L316" i="3"/>
  <c r="O316" i="3" s="1"/>
  <c r="K316" i="3"/>
  <c r="J316" i="3"/>
  <c r="I316" i="3"/>
  <c r="H316" i="3"/>
  <c r="G316" i="3"/>
  <c r="F316" i="3"/>
  <c r="E316" i="3"/>
  <c r="D316" i="3"/>
  <c r="B316" i="3"/>
  <c r="C316" i="3" s="1"/>
  <c r="A316" i="3"/>
  <c r="Q315" i="3"/>
  <c r="P315" i="3"/>
  <c r="N315" i="3"/>
  <c r="M315" i="3"/>
  <c r="O315" i="3" s="1"/>
  <c r="L315" i="3"/>
  <c r="K315" i="3"/>
  <c r="J315" i="3"/>
  <c r="I315" i="3"/>
  <c r="H315" i="3"/>
  <c r="G315" i="3"/>
  <c r="F315" i="3"/>
  <c r="B315" i="3"/>
  <c r="A315" i="3"/>
  <c r="Q314" i="3"/>
  <c r="P314" i="3"/>
  <c r="N314" i="3"/>
  <c r="M314" i="3"/>
  <c r="O314" i="3" s="1"/>
  <c r="L314" i="3"/>
  <c r="K314" i="3"/>
  <c r="J314" i="3"/>
  <c r="I314" i="3"/>
  <c r="H314" i="3"/>
  <c r="G314" i="3"/>
  <c r="F314" i="3"/>
  <c r="E314" i="3"/>
  <c r="D314" i="3"/>
  <c r="B314" i="3"/>
  <c r="C314" i="3" s="1"/>
  <c r="A314" i="3"/>
  <c r="Q313" i="3"/>
  <c r="P313" i="3"/>
  <c r="N313" i="3"/>
  <c r="O313" i="3" s="1"/>
  <c r="M313" i="3"/>
  <c r="L313" i="3"/>
  <c r="K313" i="3"/>
  <c r="J313" i="3"/>
  <c r="I313" i="3"/>
  <c r="H313" i="3"/>
  <c r="G313" i="3"/>
  <c r="F313" i="3"/>
  <c r="E313" i="3"/>
  <c r="D313" i="3"/>
  <c r="C313" i="3"/>
  <c r="B313" i="3"/>
  <c r="A313" i="3"/>
  <c r="Q312" i="3"/>
  <c r="P312" i="3"/>
  <c r="N312" i="3"/>
  <c r="M312" i="3"/>
  <c r="O312" i="3" s="1"/>
  <c r="L312" i="3"/>
  <c r="K312" i="3"/>
  <c r="J312" i="3"/>
  <c r="I312" i="3"/>
  <c r="H312" i="3"/>
  <c r="G312" i="3"/>
  <c r="F312" i="3"/>
  <c r="C312" i="3"/>
  <c r="B312" i="3"/>
  <c r="A312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B311" i="3"/>
  <c r="E311" i="3" s="1"/>
  <c r="A311" i="3"/>
  <c r="Q310" i="3"/>
  <c r="P310" i="3"/>
  <c r="N310" i="3"/>
  <c r="O310" i="3" s="1"/>
  <c r="M310" i="3"/>
  <c r="L310" i="3"/>
  <c r="K310" i="3"/>
  <c r="J310" i="3"/>
  <c r="I310" i="3"/>
  <c r="H310" i="3"/>
  <c r="G310" i="3"/>
  <c r="F310" i="3"/>
  <c r="E310" i="3"/>
  <c r="B310" i="3"/>
  <c r="A310" i="3"/>
  <c r="Q309" i="3"/>
  <c r="P309" i="3"/>
  <c r="N309" i="3"/>
  <c r="M309" i="3"/>
  <c r="L309" i="3"/>
  <c r="K309" i="3"/>
  <c r="J309" i="3"/>
  <c r="I309" i="3"/>
  <c r="H309" i="3"/>
  <c r="G309" i="3"/>
  <c r="F309" i="3"/>
  <c r="B309" i="3"/>
  <c r="E309" i="3" s="1"/>
  <c r="A309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D308" i="3"/>
  <c r="C308" i="3"/>
  <c r="B308" i="3"/>
  <c r="E308" i="3" s="1"/>
  <c r="A308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A307" i="3"/>
  <c r="Q306" i="3"/>
  <c r="P306" i="3"/>
  <c r="N306" i="3"/>
  <c r="M306" i="3"/>
  <c r="L306" i="3"/>
  <c r="K306" i="3"/>
  <c r="J306" i="3"/>
  <c r="I306" i="3"/>
  <c r="H306" i="3"/>
  <c r="G306" i="3"/>
  <c r="F306" i="3"/>
  <c r="B306" i="3"/>
  <c r="E306" i="3" s="1"/>
  <c r="A306" i="3"/>
  <c r="Q305" i="3"/>
  <c r="P305" i="3"/>
  <c r="N305" i="3"/>
  <c r="O305" i="3" s="1"/>
  <c r="M305" i="3"/>
  <c r="L305" i="3"/>
  <c r="K305" i="3"/>
  <c r="J305" i="3"/>
  <c r="I305" i="3"/>
  <c r="H305" i="3"/>
  <c r="G305" i="3"/>
  <c r="F305" i="3"/>
  <c r="E305" i="3"/>
  <c r="D305" i="3"/>
  <c r="C305" i="3"/>
  <c r="B305" i="3"/>
  <c r="A305" i="3"/>
  <c r="Q304" i="3"/>
  <c r="P304" i="3"/>
  <c r="N304" i="3"/>
  <c r="M304" i="3"/>
  <c r="L304" i="3"/>
  <c r="O304" i="3" s="1"/>
  <c r="K304" i="3"/>
  <c r="J304" i="3"/>
  <c r="I304" i="3"/>
  <c r="H304" i="3"/>
  <c r="G304" i="3"/>
  <c r="F304" i="3"/>
  <c r="B304" i="3"/>
  <c r="A304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A303" i="3"/>
  <c r="Q302" i="3"/>
  <c r="P302" i="3"/>
  <c r="N302" i="3"/>
  <c r="M302" i="3"/>
  <c r="O302" i="3" s="1"/>
  <c r="L302" i="3"/>
  <c r="K302" i="3"/>
  <c r="J302" i="3"/>
  <c r="I302" i="3"/>
  <c r="H302" i="3"/>
  <c r="G302" i="3"/>
  <c r="F302" i="3"/>
  <c r="B302" i="3"/>
  <c r="A302" i="3"/>
  <c r="Q301" i="3"/>
  <c r="P301" i="3"/>
  <c r="N301" i="3"/>
  <c r="M301" i="3"/>
  <c r="O301" i="3" s="1"/>
  <c r="L301" i="3"/>
  <c r="K301" i="3"/>
  <c r="J301" i="3"/>
  <c r="I301" i="3"/>
  <c r="H301" i="3"/>
  <c r="G301" i="3"/>
  <c r="F301" i="3"/>
  <c r="E301" i="3"/>
  <c r="B301" i="3"/>
  <c r="D301" i="3" s="1"/>
  <c r="A301" i="3"/>
  <c r="Q300" i="3"/>
  <c r="P300" i="3"/>
  <c r="N300" i="3"/>
  <c r="M300" i="3"/>
  <c r="O300" i="3" s="1"/>
  <c r="L300" i="3"/>
  <c r="K300" i="3"/>
  <c r="J300" i="3"/>
  <c r="I300" i="3"/>
  <c r="H300" i="3"/>
  <c r="G300" i="3"/>
  <c r="F300" i="3"/>
  <c r="E300" i="3"/>
  <c r="B300" i="3"/>
  <c r="D300" i="3" s="1"/>
  <c r="A300" i="3"/>
  <c r="Q299" i="3"/>
  <c r="P299" i="3"/>
  <c r="N299" i="3"/>
  <c r="M299" i="3"/>
  <c r="L299" i="3"/>
  <c r="O299" i="3" s="1"/>
  <c r="K299" i="3"/>
  <c r="J299" i="3"/>
  <c r="I299" i="3"/>
  <c r="H299" i="3"/>
  <c r="G299" i="3"/>
  <c r="F299" i="3"/>
  <c r="B299" i="3"/>
  <c r="E299" i="3" s="1"/>
  <c r="A299" i="3"/>
  <c r="Q298" i="3"/>
  <c r="P298" i="3"/>
  <c r="N298" i="3"/>
  <c r="M298" i="3"/>
  <c r="L298" i="3"/>
  <c r="K298" i="3"/>
  <c r="J298" i="3"/>
  <c r="I298" i="3"/>
  <c r="H298" i="3"/>
  <c r="G298" i="3"/>
  <c r="F298" i="3"/>
  <c r="B298" i="3"/>
  <c r="A298" i="3"/>
  <c r="Q297" i="3"/>
  <c r="P297" i="3"/>
  <c r="N297" i="3"/>
  <c r="M297" i="3"/>
  <c r="O297" i="3" s="1"/>
  <c r="L297" i="3"/>
  <c r="K297" i="3"/>
  <c r="J297" i="3"/>
  <c r="I297" i="3"/>
  <c r="H297" i="3"/>
  <c r="G297" i="3"/>
  <c r="F297" i="3"/>
  <c r="E297" i="3"/>
  <c r="D297" i="3"/>
  <c r="C297" i="3"/>
  <c r="B297" i="3"/>
  <c r="A297" i="3"/>
  <c r="Q296" i="3"/>
  <c r="P296" i="3"/>
  <c r="N296" i="3"/>
  <c r="O296" i="3" s="1"/>
  <c r="M296" i="3"/>
  <c r="L296" i="3"/>
  <c r="K296" i="3"/>
  <c r="J296" i="3"/>
  <c r="I296" i="3"/>
  <c r="H296" i="3"/>
  <c r="G296" i="3"/>
  <c r="F296" i="3"/>
  <c r="B296" i="3"/>
  <c r="A296" i="3"/>
  <c r="Q295" i="3"/>
  <c r="P295" i="3"/>
  <c r="N295" i="3"/>
  <c r="M295" i="3"/>
  <c r="L295" i="3"/>
  <c r="K295" i="3"/>
  <c r="J295" i="3"/>
  <c r="I295" i="3"/>
  <c r="H295" i="3"/>
  <c r="G295" i="3"/>
  <c r="F295" i="3"/>
  <c r="B295" i="3"/>
  <c r="E295" i="3" s="1"/>
  <c r="A295" i="3"/>
  <c r="Q294" i="3"/>
  <c r="P294" i="3"/>
  <c r="N294" i="3"/>
  <c r="O294" i="3" s="1"/>
  <c r="M294" i="3"/>
  <c r="L294" i="3"/>
  <c r="K294" i="3"/>
  <c r="J294" i="3"/>
  <c r="I294" i="3"/>
  <c r="H294" i="3"/>
  <c r="G294" i="3"/>
  <c r="F294" i="3"/>
  <c r="B294" i="3"/>
  <c r="C294" i="3" s="1"/>
  <c r="A294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B293" i="3"/>
  <c r="A293" i="3"/>
  <c r="Q292" i="3"/>
  <c r="P292" i="3"/>
  <c r="N292" i="3"/>
  <c r="M292" i="3"/>
  <c r="O292" i="3" s="1"/>
  <c r="L292" i="3"/>
  <c r="K292" i="3"/>
  <c r="J292" i="3"/>
  <c r="I292" i="3"/>
  <c r="H292" i="3"/>
  <c r="G292" i="3"/>
  <c r="F292" i="3"/>
  <c r="D292" i="3"/>
  <c r="C292" i="3"/>
  <c r="B292" i="3"/>
  <c r="E292" i="3" s="1"/>
  <c r="A292" i="3"/>
  <c r="Q291" i="3"/>
  <c r="P291" i="3"/>
  <c r="N291" i="3"/>
  <c r="M291" i="3"/>
  <c r="L291" i="3"/>
  <c r="K291" i="3"/>
  <c r="J291" i="3"/>
  <c r="I291" i="3"/>
  <c r="H291" i="3"/>
  <c r="G291" i="3"/>
  <c r="F291" i="3"/>
  <c r="E291" i="3"/>
  <c r="D291" i="3"/>
  <c r="B291" i="3"/>
  <c r="C291" i="3" s="1"/>
  <c r="A291" i="3"/>
  <c r="Q290" i="3"/>
  <c r="P290" i="3"/>
  <c r="N290" i="3"/>
  <c r="M290" i="3"/>
  <c r="O290" i="3" s="1"/>
  <c r="L290" i="3"/>
  <c r="K290" i="3"/>
  <c r="J290" i="3"/>
  <c r="I290" i="3"/>
  <c r="H290" i="3"/>
  <c r="G290" i="3"/>
  <c r="F290" i="3"/>
  <c r="B290" i="3"/>
  <c r="C290" i="3" s="1"/>
  <c r="A290" i="3"/>
  <c r="Q289" i="3"/>
  <c r="P289" i="3"/>
  <c r="N289" i="3"/>
  <c r="M289" i="3"/>
  <c r="O289" i="3" s="1"/>
  <c r="L289" i="3"/>
  <c r="K289" i="3"/>
  <c r="J289" i="3"/>
  <c r="I289" i="3"/>
  <c r="H289" i="3"/>
  <c r="G289" i="3"/>
  <c r="F289" i="3"/>
  <c r="E289" i="3"/>
  <c r="D289" i="3"/>
  <c r="C289" i="3"/>
  <c r="B289" i="3"/>
  <c r="A289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D288" i="3"/>
  <c r="C288" i="3"/>
  <c r="B288" i="3"/>
  <c r="E288" i="3" s="1"/>
  <c r="A288" i="3"/>
  <c r="Q287" i="3"/>
  <c r="P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287" i="3"/>
  <c r="Q286" i="3"/>
  <c r="P286" i="3"/>
  <c r="N286" i="3"/>
  <c r="M286" i="3"/>
  <c r="O286" i="3" s="1"/>
  <c r="L286" i="3"/>
  <c r="K286" i="3"/>
  <c r="J286" i="3"/>
  <c r="I286" i="3"/>
  <c r="H286" i="3"/>
  <c r="G286" i="3"/>
  <c r="F286" i="3"/>
  <c r="C286" i="3"/>
  <c r="B286" i="3"/>
  <c r="E286" i="3" s="1"/>
  <c r="A286" i="3"/>
  <c r="Q285" i="3"/>
  <c r="P285" i="3"/>
  <c r="N285" i="3"/>
  <c r="M285" i="3"/>
  <c r="L285" i="3"/>
  <c r="O285" i="3" s="1"/>
  <c r="K285" i="3"/>
  <c r="J285" i="3"/>
  <c r="I285" i="3"/>
  <c r="H285" i="3"/>
  <c r="G285" i="3"/>
  <c r="F285" i="3"/>
  <c r="B285" i="3"/>
  <c r="A285" i="3"/>
  <c r="Q284" i="3"/>
  <c r="P284" i="3"/>
  <c r="N284" i="3"/>
  <c r="M284" i="3"/>
  <c r="L284" i="3"/>
  <c r="O284" i="3" s="1"/>
  <c r="K284" i="3"/>
  <c r="J284" i="3"/>
  <c r="I284" i="3"/>
  <c r="H284" i="3"/>
  <c r="G284" i="3"/>
  <c r="F284" i="3"/>
  <c r="D284" i="3"/>
  <c r="B284" i="3"/>
  <c r="A284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283" i="3"/>
  <c r="Q282" i="3"/>
  <c r="P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282" i="3"/>
  <c r="Q281" i="3"/>
  <c r="P281" i="3"/>
  <c r="N281" i="3"/>
  <c r="O281" i="3" s="1"/>
  <c r="M281" i="3"/>
  <c r="L281" i="3"/>
  <c r="K281" i="3"/>
  <c r="J281" i="3"/>
  <c r="I281" i="3"/>
  <c r="H281" i="3"/>
  <c r="G281" i="3"/>
  <c r="F281" i="3"/>
  <c r="C281" i="3"/>
  <c r="B281" i="3"/>
  <c r="D281" i="3" s="1"/>
  <c r="A281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280" i="3"/>
  <c r="Q279" i="3"/>
  <c r="P279" i="3"/>
  <c r="N279" i="3"/>
  <c r="M279" i="3"/>
  <c r="O279" i="3" s="1"/>
  <c r="L279" i="3"/>
  <c r="K279" i="3"/>
  <c r="J279" i="3"/>
  <c r="I279" i="3"/>
  <c r="H279" i="3"/>
  <c r="G279" i="3"/>
  <c r="F279" i="3"/>
  <c r="B279" i="3"/>
  <c r="A279" i="3"/>
  <c r="Q278" i="3"/>
  <c r="P278" i="3"/>
  <c r="N278" i="3"/>
  <c r="M278" i="3"/>
  <c r="L278" i="3"/>
  <c r="K278" i="3"/>
  <c r="J278" i="3"/>
  <c r="I278" i="3"/>
  <c r="H278" i="3"/>
  <c r="G278" i="3"/>
  <c r="F278" i="3"/>
  <c r="B278" i="3"/>
  <c r="E278" i="3" s="1"/>
  <c r="A278" i="3"/>
  <c r="Q277" i="3"/>
  <c r="P277" i="3"/>
  <c r="N277" i="3"/>
  <c r="M277" i="3"/>
  <c r="O277" i="3" s="1"/>
  <c r="L277" i="3"/>
  <c r="K277" i="3"/>
  <c r="J277" i="3"/>
  <c r="I277" i="3"/>
  <c r="H277" i="3"/>
  <c r="G277" i="3"/>
  <c r="F277" i="3"/>
  <c r="E277" i="3"/>
  <c r="D277" i="3"/>
  <c r="C277" i="3"/>
  <c r="B277" i="3"/>
  <c r="A277" i="3"/>
  <c r="Q276" i="3"/>
  <c r="P276" i="3"/>
  <c r="N276" i="3"/>
  <c r="M276" i="3"/>
  <c r="L276" i="3"/>
  <c r="K276" i="3"/>
  <c r="J276" i="3"/>
  <c r="I276" i="3"/>
  <c r="H276" i="3"/>
  <c r="G276" i="3"/>
  <c r="F276" i="3"/>
  <c r="C276" i="3"/>
  <c r="B276" i="3"/>
  <c r="E276" i="3" s="1"/>
  <c r="A276" i="3"/>
  <c r="Q275" i="3"/>
  <c r="P275" i="3"/>
  <c r="N275" i="3"/>
  <c r="M275" i="3"/>
  <c r="O275" i="3" s="1"/>
  <c r="L275" i="3"/>
  <c r="K275" i="3"/>
  <c r="J275" i="3"/>
  <c r="I275" i="3"/>
  <c r="H275" i="3"/>
  <c r="G275" i="3"/>
  <c r="F275" i="3"/>
  <c r="E275" i="3"/>
  <c r="D275" i="3"/>
  <c r="C275" i="3"/>
  <c r="B275" i="3"/>
  <c r="A275" i="3"/>
  <c r="Q274" i="3"/>
  <c r="P274" i="3"/>
  <c r="N274" i="3"/>
  <c r="M274" i="3"/>
  <c r="L274" i="3"/>
  <c r="O274" i="3" s="1"/>
  <c r="K274" i="3"/>
  <c r="J274" i="3"/>
  <c r="I274" i="3"/>
  <c r="H274" i="3"/>
  <c r="G274" i="3"/>
  <c r="F274" i="3"/>
  <c r="E274" i="3"/>
  <c r="D274" i="3"/>
  <c r="B274" i="3"/>
  <c r="C274" i="3" s="1"/>
  <c r="A274" i="3"/>
  <c r="Q273" i="3"/>
  <c r="P273" i="3"/>
  <c r="N273" i="3"/>
  <c r="M273" i="3"/>
  <c r="O273" i="3" s="1"/>
  <c r="L273" i="3"/>
  <c r="K273" i="3"/>
  <c r="J273" i="3"/>
  <c r="I273" i="3"/>
  <c r="H273" i="3"/>
  <c r="G273" i="3"/>
  <c r="F273" i="3"/>
  <c r="C273" i="3"/>
  <c r="B273" i="3"/>
  <c r="A273" i="3"/>
  <c r="Q272" i="3"/>
  <c r="P272" i="3"/>
  <c r="N272" i="3"/>
  <c r="M272" i="3"/>
  <c r="L272" i="3"/>
  <c r="O272" i="3" s="1"/>
  <c r="K272" i="3"/>
  <c r="J272" i="3"/>
  <c r="I272" i="3"/>
  <c r="H272" i="3"/>
  <c r="G272" i="3"/>
  <c r="F272" i="3"/>
  <c r="E272" i="3"/>
  <c r="D272" i="3"/>
  <c r="C272" i="3"/>
  <c r="B272" i="3"/>
  <c r="A272" i="3"/>
  <c r="Q271" i="3"/>
  <c r="P271" i="3"/>
  <c r="N271" i="3"/>
  <c r="M271" i="3"/>
  <c r="L271" i="3"/>
  <c r="O271" i="3" s="1"/>
  <c r="K271" i="3"/>
  <c r="J271" i="3"/>
  <c r="I271" i="3"/>
  <c r="H271" i="3"/>
  <c r="G271" i="3"/>
  <c r="F271" i="3"/>
  <c r="E271" i="3"/>
  <c r="B271" i="3"/>
  <c r="A271" i="3"/>
  <c r="Q270" i="3"/>
  <c r="P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270" i="3"/>
  <c r="Q269" i="3"/>
  <c r="P269" i="3"/>
  <c r="N269" i="3"/>
  <c r="O269" i="3" s="1"/>
  <c r="M269" i="3"/>
  <c r="L269" i="3"/>
  <c r="K269" i="3"/>
  <c r="J269" i="3"/>
  <c r="I269" i="3"/>
  <c r="H269" i="3"/>
  <c r="G269" i="3"/>
  <c r="F269" i="3"/>
  <c r="B269" i="3"/>
  <c r="E269" i="3" s="1"/>
  <c r="A269" i="3"/>
  <c r="Q268" i="3"/>
  <c r="P268" i="3"/>
  <c r="N268" i="3"/>
  <c r="M268" i="3"/>
  <c r="L268" i="3"/>
  <c r="K268" i="3"/>
  <c r="J268" i="3"/>
  <c r="I268" i="3"/>
  <c r="H268" i="3"/>
  <c r="G268" i="3"/>
  <c r="F268" i="3"/>
  <c r="B268" i="3"/>
  <c r="E268" i="3" s="1"/>
  <c r="A268" i="3"/>
  <c r="Q267" i="3"/>
  <c r="P267" i="3"/>
  <c r="N267" i="3"/>
  <c r="M267" i="3"/>
  <c r="O267" i="3" s="1"/>
  <c r="L267" i="3"/>
  <c r="K267" i="3"/>
  <c r="J267" i="3"/>
  <c r="I267" i="3"/>
  <c r="H267" i="3"/>
  <c r="G267" i="3"/>
  <c r="F267" i="3"/>
  <c r="E267" i="3"/>
  <c r="D267" i="3"/>
  <c r="C267" i="3"/>
  <c r="B267" i="3"/>
  <c r="A267" i="3"/>
  <c r="Q266" i="3"/>
  <c r="P266" i="3"/>
  <c r="N266" i="3"/>
  <c r="M266" i="3"/>
  <c r="O266" i="3" s="1"/>
  <c r="L266" i="3"/>
  <c r="K266" i="3"/>
  <c r="J266" i="3"/>
  <c r="I266" i="3"/>
  <c r="H266" i="3"/>
  <c r="G266" i="3"/>
  <c r="F266" i="3"/>
  <c r="E266" i="3"/>
  <c r="D266" i="3"/>
  <c r="B266" i="3"/>
  <c r="C266" i="3" s="1"/>
  <c r="A266" i="3"/>
  <c r="Q265" i="3"/>
  <c r="P265" i="3"/>
  <c r="N265" i="3"/>
  <c r="M265" i="3"/>
  <c r="O265" i="3" s="1"/>
  <c r="L265" i="3"/>
  <c r="K265" i="3"/>
  <c r="J265" i="3"/>
  <c r="I265" i="3"/>
  <c r="H265" i="3"/>
  <c r="G265" i="3"/>
  <c r="F265" i="3"/>
  <c r="C265" i="3"/>
  <c r="B265" i="3"/>
  <c r="A265" i="3"/>
  <c r="Q264" i="3"/>
  <c r="P264" i="3"/>
  <c r="N264" i="3"/>
  <c r="M264" i="3"/>
  <c r="L264" i="3"/>
  <c r="O264" i="3" s="1"/>
  <c r="K264" i="3"/>
  <c r="J264" i="3"/>
  <c r="I264" i="3"/>
  <c r="H264" i="3"/>
  <c r="G264" i="3"/>
  <c r="F264" i="3"/>
  <c r="E264" i="3"/>
  <c r="D264" i="3"/>
  <c r="C264" i="3"/>
  <c r="B264" i="3"/>
  <c r="A264" i="3"/>
  <c r="Q263" i="3"/>
  <c r="P263" i="3"/>
  <c r="N263" i="3"/>
  <c r="M263" i="3"/>
  <c r="L263" i="3"/>
  <c r="O263" i="3" s="1"/>
  <c r="K263" i="3"/>
  <c r="J263" i="3"/>
  <c r="I263" i="3"/>
  <c r="H263" i="3"/>
  <c r="G263" i="3"/>
  <c r="F263" i="3"/>
  <c r="E263" i="3"/>
  <c r="D263" i="3"/>
  <c r="C263" i="3"/>
  <c r="B263" i="3"/>
  <c r="A263" i="3"/>
  <c r="Q262" i="3"/>
  <c r="P262" i="3"/>
  <c r="N262" i="3"/>
  <c r="M262" i="3"/>
  <c r="O262" i="3" s="1"/>
  <c r="L262" i="3"/>
  <c r="K262" i="3"/>
  <c r="J262" i="3"/>
  <c r="I262" i="3"/>
  <c r="H262" i="3"/>
  <c r="G262" i="3"/>
  <c r="F262" i="3"/>
  <c r="E262" i="3"/>
  <c r="D262" i="3"/>
  <c r="B262" i="3"/>
  <c r="C262" i="3" s="1"/>
  <c r="A262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B261" i="3"/>
  <c r="A261" i="3"/>
  <c r="Q260" i="3"/>
  <c r="P260" i="3"/>
  <c r="N260" i="3"/>
  <c r="M260" i="3"/>
  <c r="O260" i="3" s="1"/>
  <c r="L260" i="3"/>
  <c r="K260" i="3"/>
  <c r="J260" i="3"/>
  <c r="I260" i="3"/>
  <c r="H260" i="3"/>
  <c r="G260" i="3"/>
  <c r="F260" i="3"/>
  <c r="E260" i="3"/>
  <c r="B260" i="3"/>
  <c r="A260" i="3"/>
  <c r="Q259" i="3"/>
  <c r="P259" i="3"/>
  <c r="N259" i="3"/>
  <c r="M259" i="3"/>
  <c r="O259" i="3" s="1"/>
  <c r="L259" i="3"/>
  <c r="K259" i="3"/>
  <c r="J259" i="3"/>
  <c r="I259" i="3"/>
  <c r="H259" i="3"/>
  <c r="G259" i="3"/>
  <c r="F259" i="3"/>
  <c r="D259" i="3"/>
  <c r="B259" i="3"/>
  <c r="E259" i="3" s="1"/>
  <c r="A259" i="3"/>
  <c r="Q258" i="3"/>
  <c r="P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B257" i="3"/>
  <c r="D257" i="3" s="1"/>
  <c r="A257" i="3"/>
  <c r="Q256" i="3"/>
  <c r="P256" i="3"/>
  <c r="N256" i="3"/>
  <c r="M256" i="3"/>
  <c r="O256" i="3" s="1"/>
  <c r="L256" i="3"/>
  <c r="K256" i="3"/>
  <c r="J256" i="3"/>
  <c r="I256" i="3"/>
  <c r="H256" i="3"/>
  <c r="G256" i="3"/>
  <c r="F256" i="3"/>
  <c r="B256" i="3"/>
  <c r="A256" i="3"/>
  <c r="Q255" i="3"/>
  <c r="P255" i="3"/>
  <c r="N255" i="3"/>
  <c r="O255" i="3" s="1"/>
  <c r="M255" i="3"/>
  <c r="L255" i="3"/>
  <c r="K255" i="3"/>
  <c r="J255" i="3"/>
  <c r="I255" i="3"/>
  <c r="H255" i="3"/>
  <c r="G255" i="3"/>
  <c r="F255" i="3"/>
  <c r="B255" i="3"/>
  <c r="E255" i="3" s="1"/>
  <c r="A255" i="3"/>
  <c r="Q254" i="3"/>
  <c r="P254" i="3"/>
  <c r="N254" i="3"/>
  <c r="M254" i="3"/>
  <c r="L254" i="3"/>
  <c r="K254" i="3"/>
  <c r="J254" i="3"/>
  <c r="I254" i="3"/>
  <c r="H254" i="3"/>
  <c r="G254" i="3"/>
  <c r="F254" i="3"/>
  <c r="B254" i="3"/>
  <c r="A254" i="3"/>
  <c r="Q253" i="3"/>
  <c r="P253" i="3"/>
  <c r="N253" i="3"/>
  <c r="M253" i="3"/>
  <c r="O253" i="3" s="1"/>
  <c r="L253" i="3"/>
  <c r="K253" i="3"/>
  <c r="J253" i="3"/>
  <c r="I253" i="3"/>
  <c r="H253" i="3"/>
  <c r="G253" i="3"/>
  <c r="F253" i="3"/>
  <c r="B253" i="3"/>
  <c r="E253" i="3" s="1"/>
  <c r="A253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Q251" i="3"/>
  <c r="P251" i="3"/>
  <c r="N251" i="3"/>
  <c r="M251" i="3"/>
  <c r="L251" i="3"/>
  <c r="K251" i="3"/>
  <c r="J251" i="3"/>
  <c r="I251" i="3"/>
  <c r="H251" i="3"/>
  <c r="G251" i="3"/>
  <c r="F251" i="3"/>
  <c r="B251" i="3"/>
  <c r="A251" i="3"/>
  <c r="Q250" i="3"/>
  <c r="P250" i="3"/>
  <c r="N250" i="3"/>
  <c r="M250" i="3"/>
  <c r="O250" i="3" s="1"/>
  <c r="L250" i="3"/>
  <c r="K250" i="3"/>
  <c r="J250" i="3"/>
  <c r="I250" i="3"/>
  <c r="H250" i="3"/>
  <c r="G250" i="3"/>
  <c r="F250" i="3"/>
  <c r="B250" i="3"/>
  <c r="E250" i="3" s="1"/>
  <c r="A250" i="3"/>
  <c r="Q249" i="3"/>
  <c r="P249" i="3"/>
  <c r="N249" i="3"/>
  <c r="M249" i="3"/>
  <c r="L249" i="3"/>
  <c r="O249" i="3" s="1"/>
  <c r="K249" i="3"/>
  <c r="J249" i="3"/>
  <c r="I249" i="3"/>
  <c r="H249" i="3"/>
  <c r="G249" i="3"/>
  <c r="F249" i="3"/>
  <c r="E249" i="3"/>
  <c r="D249" i="3"/>
  <c r="C249" i="3"/>
  <c r="B249" i="3"/>
  <c r="A249" i="3"/>
  <c r="Q248" i="3"/>
  <c r="P248" i="3"/>
  <c r="N248" i="3"/>
  <c r="M248" i="3"/>
  <c r="O248" i="3" s="1"/>
  <c r="L248" i="3"/>
  <c r="K248" i="3"/>
  <c r="J248" i="3"/>
  <c r="I248" i="3"/>
  <c r="H248" i="3"/>
  <c r="G248" i="3"/>
  <c r="F248" i="3"/>
  <c r="B248" i="3"/>
  <c r="A248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Q246" i="3"/>
  <c r="P246" i="3"/>
  <c r="N246" i="3"/>
  <c r="M246" i="3"/>
  <c r="O246" i="3" s="1"/>
  <c r="L246" i="3"/>
  <c r="K246" i="3"/>
  <c r="J246" i="3"/>
  <c r="I246" i="3"/>
  <c r="H246" i="3"/>
  <c r="G246" i="3"/>
  <c r="F246" i="3"/>
  <c r="B246" i="3"/>
  <c r="E246" i="3" s="1"/>
  <c r="A246" i="3"/>
  <c r="Q245" i="3"/>
  <c r="P245" i="3"/>
  <c r="N245" i="3"/>
  <c r="M245" i="3"/>
  <c r="L245" i="3"/>
  <c r="K245" i="3"/>
  <c r="J245" i="3"/>
  <c r="I245" i="3"/>
  <c r="H245" i="3"/>
  <c r="G245" i="3"/>
  <c r="F245" i="3"/>
  <c r="B245" i="3"/>
  <c r="E245" i="3" s="1"/>
  <c r="A245" i="3"/>
  <c r="Q244" i="3"/>
  <c r="P244" i="3"/>
  <c r="N244" i="3"/>
  <c r="O244" i="3" s="1"/>
  <c r="M244" i="3"/>
  <c r="L244" i="3"/>
  <c r="K244" i="3"/>
  <c r="J244" i="3"/>
  <c r="I244" i="3"/>
  <c r="H244" i="3"/>
  <c r="G244" i="3"/>
  <c r="F244" i="3"/>
  <c r="E244" i="3"/>
  <c r="D244" i="3"/>
  <c r="C244" i="3"/>
  <c r="B244" i="3"/>
  <c r="A244" i="3"/>
  <c r="Q243" i="3"/>
  <c r="P243" i="3"/>
  <c r="N243" i="3"/>
  <c r="M243" i="3"/>
  <c r="L243" i="3"/>
  <c r="K243" i="3"/>
  <c r="J243" i="3"/>
  <c r="I243" i="3"/>
  <c r="H243" i="3"/>
  <c r="G243" i="3"/>
  <c r="F243" i="3"/>
  <c r="B243" i="3"/>
  <c r="A243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B242" i="3"/>
  <c r="D242" i="3" s="1"/>
  <c r="A242" i="3"/>
  <c r="Q241" i="3"/>
  <c r="P241" i="3"/>
  <c r="N241" i="3"/>
  <c r="M241" i="3"/>
  <c r="O241" i="3" s="1"/>
  <c r="L241" i="3"/>
  <c r="K241" i="3"/>
  <c r="J241" i="3"/>
  <c r="I241" i="3"/>
  <c r="H241" i="3"/>
  <c r="G241" i="3"/>
  <c r="F241" i="3"/>
  <c r="E241" i="3"/>
  <c r="B241" i="3"/>
  <c r="D241" i="3" s="1"/>
  <c r="A241" i="3"/>
  <c r="Q240" i="3"/>
  <c r="P240" i="3"/>
  <c r="N240" i="3"/>
  <c r="M240" i="3"/>
  <c r="L240" i="3"/>
  <c r="O240" i="3" s="1"/>
  <c r="K240" i="3"/>
  <c r="J240" i="3"/>
  <c r="I240" i="3"/>
  <c r="H240" i="3"/>
  <c r="G240" i="3"/>
  <c r="F240" i="3"/>
  <c r="B240" i="3"/>
  <c r="A240" i="3"/>
  <c r="Q239" i="3"/>
  <c r="P239" i="3"/>
  <c r="N239" i="3"/>
  <c r="M239" i="3"/>
  <c r="O239" i="3" s="1"/>
  <c r="L239" i="3"/>
  <c r="K239" i="3"/>
  <c r="J239" i="3"/>
  <c r="I239" i="3"/>
  <c r="H239" i="3"/>
  <c r="G239" i="3"/>
  <c r="F239" i="3"/>
  <c r="E239" i="3"/>
  <c r="D239" i="3"/>
  <c r="C239" i="3"/>
  <c r="B239" i="3"/>
  <c r="A239" i="3"/>
  <c r="Q238" i="3"/>
  <c r="P238" i="3"/>
  <c r="N238" i="3"/>
  <c r="M238" i="3"/>
  <c r="L238" i="3"/>
  <c r="K238" i="3"/>
  <c r="J238" i="3"/>
  <c r="I238" i="3"/>
  <c r="H238" i="3"/>
  <c r="G238" i="3"/>
  <c r="F238" i="3"/>
  <c r="B238" i="3"/>
  <c r="E238" i="3" s="1"/>
  <c r="A238" i="3"/>
  <c r="Q237" i="3"/>
  <c r="P237" i="3"/>
  <c r="N237" i="3"/>
  <c r="M237" i="3"/>
  <c r="O237" i="3" s="1"/>
  <c r="L237" i="3"/>
  <c r="K237" i="3"/>
  <c r="J237" i="3"/>
  <c r="I237" i="3"/>
  <c r="H237" i="3"/>
  <c r="G237" i="3"/>
  <c r="F237" i="3"/>
  <c r="E237" i="3"/>
  <c r="D237" i="3"/>
  <c r="C237" i="3"/>
  <c r="B237" i="3"/>
  <c r="A237" i="3"/>
  <c r="Q236" i="3"/>
  <c r="P236" i="3"/>
  <c r="N236" i="3"/>
  <c r="O236" i="3" s="1"/>
  <c r="M236" i="3"/>
  <c r="L236" i="3"/>
  <c r="K236" i="3"/>
  <c r="J236" i="3"/>
  <c r="I236" i="3"/>
  <c r="H236" i="3"/>
  <c r="G236" i="3"/>
  <c r="F236" i="3"/>
  <c r="E236" i="3"/>
  <c r="D236" i="3"/>
  <c r="C236" i="3"/>
  <c r="B236" i="3"/>
  <c r="A236" i="3"/>
  <c r="Q235" i="3"/>
  <c r="P235" i="3"/>
  <c r="N235" i="3"/>
  <c r="M235" i="3"/>
  <c r="L235" i="3"/>
  <c r="O235" i="3" s="1"/>
  <c r="K235" i="3"/>
  <c r="J235" i="3"/>
  <c r="I235" i="3"/>
  <c r="H235" i="3"/>
  <c r="G235" i="3"/>
  <c r="F235" i="3"/>
  <c r="E235" i="3"/>
  <c r="B235" i="3"/>
  <c r="A235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B234" i="3"/>
  <c r="A234" i="3"/>
  <c r="Q233" i="3"/>
  <c r="P233" i="3"/>
  <c r="N233" i="3"/>
  <c r="M233" i="3"/>
  <c r="O233" i="3" s="1"/>
  <c r="L233" i="3"/>
  <c r="K233" i="3"/>
  <c r="J233" i="3"/>
  <c r="I233" i="3"/>
  <c r="H233" i="3"/>
  <c r="G233" i="3"/>
  <c r="F233" i="3"/>
  <c r="E233" i="3"/>
  <c r="D233" i="3"/>
  <c r="C233" i="3"/>
  <c r="B233" i="3"/>
  <c r="A233" i="3"/>
  <c r="Q232" i="3"/>
  <c r="P232" i="3"/>
  <c r="N232" i="3"/>
  <c r="M232" i="3"/>
  <c r="L232" i="3"/>
  <c r="O232" i="3" s="1"/>
  <c r="K232" i="3"/>
  <c r="J232" i="3"/>
  <c r="I232" i="3"/>
  <c r="H232" i="3"/>
  <c r="G232" i="3"/>
  <c r="F232" i="3"/>
  <c r="E232" i="3"/>
  <c r="D232" i="3"/>
  <c r="C232" i="3"/>
  <c r="B232" i="3"/>
  <c r="A232" i="3"/>
  <c r="Q231" i="3"/>
  <c r="P231" i="3"/>
  <c r="N231" i="3"/>
  <c r="M231" i="3"/>
  <c r="L231" i="3"/>
  <c r="K231" i="3"/>
  <c r="J231" i="3"/>
  <c r="I231" i="3"/>
  <c r="H231" i="3"/>
  <c r="G231" i="3"/>
  <c r="F231" i="3"/>
  <c r="E231" i="3"/>
  <c r="B231" i="3"/>
  <c r="D231" i="3" s="1"/>
  <c r="A231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B230" i="3"/>
  <c r="D230" i="3" s="1"/>
  <c r="A230" i="3"/>
  <c r="Q229" i="3"/>
  <c r="P229" i="3"/>
  <c r="N229" i="3"/>
  <c r="M229" i="3"/>
  <c r="O229" i="3" s="1"/>
  <c r="L229" i="3"/>
  <c r="K229" i="3"/>
  <c r="J229" i="3"/>
  <c r="I229" i="3"/>
  <c r="H229" i="3"/>
  <c r="G229" i="3"/>
  <c r="F229" i="3"/>
  <c r="C229" i="3"/>
  <c r="B229" i="3"/>
  <c r="A229" i="3"/>
  <c r="Q228" i="3"/>
  <c r="P228" i="3"/>
  <c r="N228" i="3"/>
  <c r="M228" i="3"/>
  <c r="O228" i="3" s="1"/>
  <c r="L228" i="3"/>
  <c r="K228" i="3"/>
  <c r="J228" i="3"/>
  <c r="I228" i="3"/>
  <c r="H228" i="3"/>
  <c r="G228" i="3"/>
  <c r="F228" i="3"/>
  <c r="B228" i="3"/>
  <c r="E228" i="3" s="1"/>
  <c r="A228" i="3"/>
  <c r="Q227" i="3"/>
  <c r="P227" i="3"/>
  <c r="N227" i="3"/>
  <c r="M227" i="3"/>
  <c r="O227" i="3" s="1"/>
  <c r="L227" i="3"/>
  <c r="K227" i="3"/>
  <c r="J227" i="3"/>
  <c r="I227" i="3"/>
  <c r="H227" i="3"/>
  <c r="G227" i="3"/>
  <c r="F227" i="3"/>
  <c r="E227" i="3"/>
  <c r="D227" i="3"/>
  <c r="C227" i="3"/>
  <c r="B227" i="3"/>
  <c r="A227" i="3"/>
  <c r="Q226" i="3"/>
  <c r="P226" i="3"/>
  <c r="N226" i="3"/>
  <c r="M226" i="3"/>
  <c r="O226" i="3" s="1"/>
  <c r="L226" i="3"/>
  <c r="K226" i="3"/>
  <c r="J226" i="3"/>
  <c r="I226" i="3"/>
  <c r="H226" i="3"/>
  <c r="G226" i="3"/>
  <c r="F226" i="3"/>
  <c r="B226" i="3"/>
  <c r="E226" i="3" s="1"/>
  <c r="A226" i="3"/>
  <c r="Q225" i="3"/>
  <c r="P225" i="3"/>
  <c r="N225" i="3"/>
  <c r="O225" i="3" s="1"/>
  <c r="M225" i="3"/>
  <c r="L225" i="3"/>
  <c r="K225" i="3"/>
  <c r="J225" i="3"/>
  <c r="I225" i="3"/>
  <c r="H225" i="3"/>
  <c r="G225" i="3"/>
  <c r="F225" i="3"/>
  <c r="B225" i="3"/>
  <c r="E225" i="3" s="1"/>
  <c r="A225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C224" i="3"/>
  <c r="B224" i="3"/>
  <c r="E224" i="3" s="1"/>
  <c r="A224" i="3"/>
  <c r="Q223" i="3"/>
  <c r="P223" i="3"/>
  <c r="N223" i="3"/>
  <c r="M223" i="3"/>
  <c r="O223" i="3" s="1"/>
  <c r="L223" i="3"/>
  <c r="K223" i="3"/>
  <c r="J223" i="3"/>
  <c r="I223" i="3"/>
  <c r="H223" i="3"/>
  <c r="G223" i="3"/>
  <c r="F223" i="3"/>
  <c r="D223" i="3"/>
  <c r="C223" i="3"/>
  <c r="B223" i="3"/>
  <c r="E223" i="3" s="1"/>
  <c r="A223" i="3"/>
  <c r="Q222" i="3"/>
  <c r="P222" i="3"/>
  <c r="N222" i="3"/>
  <c r="M222" i="3"/>
  <c r="L222" i="3"/>
  <c r="K222" i="3"/>
  <c r="J222" i="3"/>
  <c r="I222" i="3"/>
  <c r="H222" i="3"/>
  <c r="G222" i="3"/>
  <c r="F222" i="3"/>
  <c r="E222" i="3"/>
  <c r="D222" i="3"/>
  <c r="B222" i="3"/>
  <c r="C222" i="3" s="1"/>
  <c r="A222" i="3"/>
  <c r="Q221" i="3"/>
  <c r="P221" i="3"/>
  <c r="N221" i="3"/>
  <c r="M221" i="3"/>
  <c r="L221" i="3"/>
  <c r="O221" i="3" s="1"/>
  <c r="K221" i="3"/>
  <c r="J221" i="3"/>
  <c r="I221" i="3"/>
  <c r="H221" i="3"/>
  <c r="G221" i="3"/>
  <c r="F221" i="3"/>
  <c r="B221" i="3"/>
  <c r="A221" i="3"/>
  <c r="Q220" i="3"/>
  <c r="P220" i="3"/>
  <c r="N220" i="3"/>
  <c r="M220" i="3"/>
  <c r="O220" i="3" s="1"/>
  <c r="L220" i="3"/>
  <c r="K220" i="3"/>
  <c r="J220" i="3"/>
  <c r="I220" i="3"/>
  <c r="H220" i="3"/>
  <c r="G220" i="3"/>
  <c r="F220" i="3"/>
  <c r="B220" i="3"/>
  <c r="D220" i="3" s="1"/>
  <c r="A220" i="3"/>
  <c r="Q219" i="3"/>
  <c r="P219" i="3"/>
  <c r="N219" i="3"/>
  <c r="O219" i="3" s="1"/>
  <c r="M219" i="3"/>
  <c r="L219" i="3"/>
  <c r="K219" i="3"/>
  <c r="J219" i="3"/>
  <c r="I219" i="3"/>
  <c r="H219" i="3"/>
  <c r="G219" i="3"/>
  <c r="F219" i="3"/>
  <c r="B219" i="3"/>
  <c r="A219" i="3"/>
  <c r="Q218" i="3"/>
  <c r="P218" i="3"/>
  <c r="N218" i="3"/>
  <c r="M218" i="3"/>
  <c r="L218" i="3"/>
  <c r="K218" i="3"/>
  <c r="J218" i="3"/>
  <c r="I218" i="3"/>
  <c r="H218" i="3"/>
  <c r="G218" i="3"/>
  <c r="F218" i="3"/>
  <c r="B218" i="3"/>
  <c r="C218" i="3" s="1"/>
  <c r="A218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C217" i="3"/>
  <c r="B217" i="3"/>
  <c r="A217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B216" i="3"/>
  <c r="C216" i="3" s="1"/>
  <c r="A216" i="3"/>
  <c r="Q215" i="3"/>
  <c r="P215" i="3"/>
  <c r="N215" i="3"/>
  <c r="M215" i="3"/>
  <c r="L215" i="3"/>
  <c r="O215" i="3" s="1"/>
  <c r="K215" i="3"/>
  <c r="J215" i="3"/>
  <c r="I215" i="3"/>
  <c r="H215" i="3"/>
  <c r="G215" i="3"/>
  <c r="F215" i="3"/>
  <c r="B215" i="3"/>
  <c r="A215" i="3"/>
  <c r="Q214" i="3"/>
  <c r="P214" i="3"/>
  <c r="N214" i="3"/>
  <c r="M214" i="3"/>
  <c r="O214" i="3" s="1"/>
  <c r="L214" i="3"/>
  <c r="K214" i="3"/>
  <c r="J214" i="3"/>
  <c r="I214" i="3"/>
  <c r="H214" i="3"/>
  <c r="G214" i="3"/>
  <c r="F214" i="3"/>
  <c r="E214" i="3"/>
  <c r="B214" i="3"/>
  <c r="C214" i="3" s="1"/>
  <c r="A214" i="3"/>
  <c r="Q213" i="3"/>
  <c r="P213" i="3"/>
  <c r="N213" i="3"/>
  <c r="O213" i="3" s="1"/>
  <c r="M213" i="3"/>
  <c r="L213" i="3"/>
  <c r="K213" i="3"/>
  <c r="J213" i="3"/>
  <c r="I213" i="3"/>
  <c r="H213" i="3"/>
  <c r="G213" i="3"/>
  <c r="F213" i="3"/>
  <c r="B213" i="3"/>
  <c r="E213" i="3" s="1"/>
  <c r="A213" i="3"/>
  <c r="Q212" i="3"/>
  <c r="P212" i="3"/>
  <c r="N212" i="3"/>
  <c r="M212" i="3"/>
  <c r="L212" i="3"/>
  <c r="K212" i="3"/>
  <c r="J212" i="3"/>
  <c r="I212" i="3"/>
  <c r="H212" i="3"/>
  <c r="G212" i="3"/>
  <c r="F212" i="3"/>
  <c r="B212" i="3"/>
  <c r="E212" i="3" s="1"/>
  <c r="A212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D211" i="3"/>
  <c r="C211" i="3"/>
  <c r="B211" i="3"/>
  <c r="E211" i="3" s="1"/>
  <c r="A211" i="3"/>
  <c r="Q210" i="3"/>
  <c r="P210" i="3"/>
  <c r="N210" i="3"/>
  <c r="M210" i="3"/>
  <c r="L210" i="3"/>
  <c r="K210" i="3"/>
  <c r="J210" i="3"/>
  <c r="I210" i="3"/>
  <c r="H210" i="3"/>
  <c r="G210" i="3"/>
  <c r="F210" i="3"/>
  <c r="B210" i="3"/>
  <c r="A210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B209" i="3"/>
  <c r="A209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D208" i="3"/>
  <c r="C208" i="3"/>
  <c r="B208" i="3"/>
  <c r="E208" i="3" s="1"/>
  <c r="A208" i="3"/>
  <c r="Q207" i="3"/>
  <c r="P207" i="3"/>
  <c r="N207" i="3"/>
  <c r="M207" i="3"/>
  <c r="L207" i="3"/>
  <c r="O207" i="3" s="1"/>
  <c r="K207" i="3"/>
  <c r="J207" i="3"/>
  <c r="I207" i="3"/>
  <c r="H207" i="3"/>
  <c r="G207" i="3"/>
  <c r="F207" i="3"/>
  <c r="E207" i="3"/>
  <c r="D207" i="3"/>
  <c r="C207" i="3"/>
  <c r="B207" i="3"/>
  <c r="A207" i="3"/>
  <c r="Q206" i="3"/>
  <c r="P206" i="3"/>
  <c r="N206" i="3"/>
  <c r="M206" i="3"/>
  <c r="L206" i="3"/>
  <c r="K206" i="3"/>
  <c r="J206" i="3"/>
  <c r="I206" i="3"/>
  <c r="H206" i="3"/>
  <c r="G206" i="3"/>
  <c r="F206" i="3"/>
  <c r="B206" i="3"/>
  <c r="E206" i="3" s="1"/>
  <c r="A206" i="3"/>
  <c r="Q205" i="3"/>
  <c r="P205" i="3"/>
  <c r="N205" i="3"/>
  <c r="O205" i="3" s="1"/>
  <c r="M205" i="3"/>
  <c r="L205" i="3"/>
  <c r="K205" i="3"/>
  <c r="J205" i="3"/>
  <c r="I205" i="3"/>
  <c r="H205" i="3"/>
  <c r="G205" i="3"/>
  <c r="F205" i="3"/>
  <c r="E205" i="3"/>
  <c r="D205" i="3"/>
  <c r="B205" i="3"/>
  <c r="C205" i="3" s="1"/>
  <c r="A205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C204" i="3"/>
  <c r="B204" i="3"/>
  <c r="A204" i="3"/>
  <c r="Q203" i="3"/>
  <c r="P203" i="3"/>
  <c r="N203" i="3"/>
  <c r="M203" i="3"/>
  <c r="O203" i="3" s="1"/>
  <c r="L203" i="3"/>
  <c r="K203" i="3"/>
  <c r="J203" i="3"/>
  <c r="I203" i="3"/>
  <c r="H203" i="3"/>
  <c r="G203" i="3"/>
  <c r="F203" i="3"/>
  <c r="E203" i="3"/>
  <c r="D203" i="3"/>
  <c r="C203" i="3"/>
  <c r="B203" i="3"/>
  <c r="A203" i="3"/>
  <c r="Q202" i="3"/>
  <c r="P202" i="3"/>
  <c r="N202" i="3"/>
  <c r="M202" i="3"/>
  <c r="O202" i="3" s="1"/>
  <c r="L202" i="3"/>
  <c r="K202" i="3"/>
  <c r="J202" i="3"/>
  <c r="I202" i="3"/>
  <c r="H202" i="3"/>
  <c r="G202" i="3"/>
  <c r="F202" i="3"/>
  <c r="B202" i="3"/>
  <c r="A202" i="3"/>
  <c r="Q201" i="3"/>
  <c r="P201" i="3"/>
  <c r="N201" i="3"/>
  <c r="M201" i="3"/>
  <c r="L201" i="3"/>
  <c r="K201" i="3"/>
  <c r="J201" i="3"/>
  <c r="I201" i="3"/>
  <c r="H201" i="3"/>
  <c r="G201" i="3"/>
  <c r="F201" i="3"/>
  <c r="E201" i="3"/>
  <c r="C201" i="3"/>
  <c r="B201" i="3"/>
  <c r="D201" i="3" s="1"/>
  <c r="A201" i="3"/>
  <c r="Q200" i="3"/>
  <c r="P200" i="3"/>
  <c r="N200" i="3"/>
  <c r="M200" i="3"/>
  <c r="O200" i="3" s="1"/>
  <c r="L200" i="3"/>
  <c r="K200" i="3"/>
  <c r="J200" i="3"/>
  <c r="I200" i="3"/>
  <c r="H200" i="3"/>
  <c r="G200" i="3"/>
  <c r="F200" i="3"/>
  <c r="E200" i="3"/>
  <c r="D200" i="3"/>
  <c r="C200" i="3"/>
  <c r="B200" i="3"/>
  <c r="A200" i="3"/>
  <c r="Q199" i="3"/>
  <c r="P199" i="3"/>
  <c r="N199" i="3"/>
  <c r="M199" i="3"/>
  <c r="L199" i="3"/>
  <c r="O199" i="3" s="1"/>
  <c r="K199" i="3"/>
  <c r="J199" i="3"/>
  <c r="I199" i="3"/>
  <c r="H199" i="3"/>
  <c r="G199" i="3"/>
  <c r="F199" i="3"/>
  <c r="B199" i="3"/>
  <c r="A199" i="3"/>
  <c r="Q198" i="3"/>
  <c r="P198" i="3"/>
  <c r="N198" i="3"/>
  <c r="M198" i="3"/>
  <c r="L198" i="3"/>
  <c r="K198" i="3"/>
  <c r="J198" i="3"/>
  <c r="I198" i="3"/>
  <c r="H198" i="3"/>
  <c r="G198" i="3"/>
  <c r="F198" i="3"/>
  <c r="B198" i="3"/>
  <c r="A198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Q196" i="3"/>
  <c r="P196" i="3"/>
  <c r="N196" i="3"/>
  <c r="M196" i="3"/>
  <c r="L196" i="3"/>
  <c r="O196" i="3" s="1"/>
  <c r="K196" i="3"/>
  <c r="J196" i="3"/>
  <c r="I196" i="3"/>
  <c r="H196" i="3"/>
  <c r="G196" i="3"/>
  <c r="F196" i="3"/>
  <c r="E196" i="3"/>
  <c r="B196" i="3"/>
  <c r="A196" i="3"/>
  <c r="Q195" i="3"/>
  <c r="P195" i="3"/>
  <c r="N195" i="3"/>
  <c r="M195" i="3"/>
  <c r="O195" i="3" s="1"/>
  <c r="L195" i="3"/>
  <c r="K195" i="3"/>
  <c r="J195" i="3"/>
  <c r="I195" i="3"/>
  <c r="H195" i="3"/>
  <c r="G195" i="3"/>
  <c r="F195" i="3"/>
  <c r="D195" i="3"/>
  <c r="B195" i="3"/>
  <c r="E195" i="3" s="1"/>
  <c r="A195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B194" i="3"/>
  <c r="A194" i="3"/>
  <c r="Q193" i="3"/>
  <c r="P193" i="3"/>
  <c r="N193" i="3"/>
  <c r="M193" i="3"/>
  <c r="L193" i="3"/>
  <c r="O193" i="3" s="1"/>
  <c r="K193" i="3"/>
  <c r="J193" i="3"/>
  <c r="I193" i="3"/>
  <c r="H193" i="3"/>
  <c r="G193" i="3"/>
  <c r="F193" i="3"/>
  <c r="E193" i="3"/>
  <c r="D193" i="3"/>
  <c r="C193" i="3"/>
  <c r="B193" i="3"/>
  <c r="A193" i="3"/>
  <c r="Q192" i="3"/>
  <c r="P192" i="3"/>
  <c r="N192" i="3"/>
  <c r="M192" i="3"/>
  <c r="L192" i="3"/>
  <c r="K192" i="3"/>
  <c r="J192" i="3"/>
  <c r="I192" i="3"/>
  <c r="H192" i="3"/>
  <c r="G192" i="3"/>
  <c r="F192" i="3"/>
  <c r="D192" i="3"/>
  <c r="B192" i="3"/>
  <c r="E192" i="3" s="1"/>
  <c r="A192" i="3"/>
  <c r="Q191" i="3"/>
  <c r="P191" i="3"/>
  <c r="N191" i="3"/>
  <c r="M191" i="3"/>
  <c r="L191" i="3"/>
  <c r="O191" i="3" s="1"/>
  <c r="K191" i="3"/>
  <c r="J191" i="3"/>
  <c r="I191" i="3"/>
  <c r="H191" i="3"/>
  <c r="G191" i="3"/>
  <c r="F191" i="3"/>
  <c r="E191" i="3"/>
  <c r="D191" i="3"/>
  <c r="B191" i="3"/>
  <c r="C191" i="3" s="1"/>
  <c r="A191" i="3"/>
  <c r="Q190" i="3"/>
  <c r="P190" i="3"/>
  <c r="N190" i="3"/>
  <c r="M190" i="3"/>
  <c r="O190" i="3" s="1"/>
  <c r="L190" i="3"/>
  <c r="K190" i="3"/>
  <c r="J190" i="3"/>
  <c r="I190" i="3"/>
  <c r="H190" i="3"/>
  <c r="G190" i="3"/>
  <c r="F190" i="3"/>
  <c r="B190" i="3"/>
  <c r="A190" i="3"/>
  <c r="Q189" i="3"/>
  <c r="P189" i="3"/>
  <c r="N189" i="3"/>
  <c r="M189" i="3"/>
  <c r="L189" i="3"/>
  <c r="O189" i="3" s="1"/>
  <c r="K189" i="3"/>
  <c r="J189" i="3"/>
  <c r="I189" i="3"/>
  <c r="H189" i="3"/>
  <c r="G189" i="3"/>
  <c r="F189" i="3"/>
  <c r="E189" i="3"/>
  <c r="D189" i="3"/>
  <c r="C189" i="3"/>
  <c r="B189" i="3"/>
  <c r="A189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D188" i="3"/>
  <c r="C188" i="3"/>
  <c r="B188" i="3"/>
  <c r="E188" i="3" s="1"/>
  <c r="A188" i="3"/>
  <c r="Q187" i="3"/>
  <c r="P187" i="3"/>
  <c r="N187" i="3"/>
  <c r="M187" i="3"/>
  <c r="O187" i="3" s="1"/>
  <c r="L187" i="3"/>
  <c r="K187" i="3"/>
  <c r="J187" i="3"/>
  <c r="I187" i="3"/>
  <c r="H187" i="3"/>
  <c r="G187" i="3"/>
  <c r="F187" i="3"/>
  <c r="E187" i="3"/>
  <c r="D187" i="3"/>
  <c r="C187" i="3"/>
  <c r="B187" i="3"/>
  <c r="A187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B186" i="3"/>
  <c r="C186" i="3" s="1"/>
  <c r="A186" i="3"/>
  <c r="Q185" i="3"/>
  <c r="P185" i="3"/>
  <c r="N185" i="3"/>
  <c r="O185" i="3" s="1"/>
  <c r="M185" i="3"/>
  <c r="L185" i="3"/>
  <c r="K185" i="3"/>
  <c r="J185" i="3"/>
  <c r="I185" i="3"/>
  <c r="H185" i="3"/>
  <c r="G185" i="3"/>
  <c r="F185" i="3"/>
  <c r="B185" i="3"/>
  <c r="A185" i="3"/>
  <c r="Q184" i="3"/>
  <c r="P184" i="3"/>
  <c r="N184" i="3"/>
  <c r="M184" i="3"/>
  <c r="L184" i="3"/>
  <c r="O184" i="3" s="1"/>
  <c r="K184" i="3"/>
  <c r="J184" i="3"/>
  <c r="I184" i="3"/>
  <c r="H184" i="3"/>
  <c r="G184" i="3"/>
  <c r="F184" i="3"/>
  <c r="C184" i="3"/>
  <c r="B184" i="3"/>
  <c r="E184" i="3" s="1"/>
  <c r="A184" i="3"/>
  <c r="Q183" i="3"/>
  <c r="P183" i="3"/>
  <c r="N183" i="3"/>
  <c r="M183" i="3"/>
  <c r="O183" i="3" s="1"/>
  <c r="L183" i="3"/>
  <c r="K183" i="3"/>
  <c r="J183" i="3"/>
  <c r="I183" i="3"/>
  <c r="H183" i="3"/>
  <c r="G183" i="3"/>
  <c r="F183" i="3"/>
  <c r="E183" i="3"/>
  <c r="D183" i="3"/>
  <c r="C183" i="3"/>
  <c r="B183" i="3"/>
  <c r="A183" i="3"/>
  <c r="Q182" i="3"/>
  <c r="P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Q181" i="3"/>
  <c r="P181" i="3"/>
  <c r="N181" i="3"/>
  <c r="M181" i="3"/>
  <c r="O181" i="3" s="1"/>
  <c r="L181" i="3"/>
  <c r="K181" i="3"/>
  <c r="J181" i="3"/>
  <c r="I181" i="3"/>
  <c r="H181" i="3"/>
  <c r="G181" i="3"/>
  <c r="F181" i="3"/>
  <c r="B181" i="3"/>
  <c r="D181" i="3" s="1"/>
  <c r="A181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B180" i="3"/>
  <c r="C180" i="3" s="1"/>
  <c r="A180" i="3"/>
  <c r="Q179" i="3"/>
  <c r="P179" i="3"/>
  <c r="N179" i="3"/>
  <c r="M179" i="3"/>
  <c r="L179" i="3"/>
  <c r="O179" i="3" s="1"/>
  <c r="K179" i="3"/>
  <c r="J179" i="3"/>
  <c r="I179" i="3"/>
  <c r="H179" i="3"/>
  <c r="G179" i="3"/>
  <c r="F179" i="3"/>
  <c r="B179" i="3"/>
  <c r="A179" i="3"/>
  <c r="Q178" i="3"/>
  <c r="P178" i="3"/>
  <c r="N178" i="3"/>
  <c r="M178" i="3"/>
  <c r="L178" i="3"/>
  <c r="K178" i="3"/>
  <c r="J178" i="3"/>
  <c r="I178" i="3"/>
  <c r="H178" i="3"/>
  <c r="G178" i="3"/>
  <c r="F178" i="3"/>
  <c r="D178" i="3"/>
  <c r="C178" i="3"/>
  <c r="B178" i="3"/>
  <c r="E178" i="3" s="1"/>
  <c r="A178" i="3"/>
  <c r="Q177" i="3"/>
  <c r="P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/>
  <c r="A177" i="3"/>
  <c r="Q176" i="3"/>
  <c r="P176" i="3"/>
  <c r="N176" i="3"/>
  <c r="M176" i="3"/>
  <c r="L176" i="3"/>
  <c r="K176" i="3"/>
  <c r="J176" i="3"/>
  <c r="I176" i="3"/>
  <c r="H176" i="3"/>
  <c r="G176" i="3"/>
  <c r="F176" i="3"/>
  <c r="E176" i="3"/>
  <c r="B176" i="3"/>
  <c r="D176" i="3" s="1"/>
  <c r="A176" i="3"/>
  <c r="Q175" i="3"/>
  <c r="P175" i="3"/>
  <c r="N175" i="3"/>
  <c r="M175" i="3"/>
  <c r="O175" i="3" s="1"/>
  <c r="L175" i="3"/>
  <c r="K175" i="3"/>
  <c r="J175" i="3"/>
  <c r="I175" i="3"/>
  <c r="H175" i="3"/>
  <c r="G175" i="3"/>
  <c r="F175" i="3"/>
  <c r="E175" i="3"/>
  <c r="D175" i="3"/>
  <c r="C175" i="3"/>
  <c r="B175" i="3"/>
  <c r="A175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B174" i="3"/>
  <c r="A174" i="3"/>
  <c r="Q173" i="3"/>
  <c r="P173" i="3"/>
  <c r="N173" i="3"/>
  <c r="O173" i="3" s="1"/>
  <c r="M173" i="3"/>
  <c r="L173" i="3"/>
  <c r="K173" i="3"/>
  <c r="J173" i="3"/>
  <c r="I173" i="3"/>
  <c r="H173" i="3"/>
  <c r="G173" i="3"/>
  <c r="F173" i="3"/>
  <c r="C173" i="3"/>
  <c r="B173" i="3"/>
  <c r="A173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Q171" i="3"/>
  <c r="P171" i="3"/>
  <c r="N171" i="3"/>
  <c r="M171" i="3"/>
  <c r="O171" i="3" s="1"/>
  <c r="L171" i="3"/>
  <c r="K171" i="3"/>
  <c r="J171" i="3"/>
  <c r="I171" i="3"/>
  <c r="H171" i="3"/>
  <c r="G171" i="3"/>
  <c r="F171" i="3"/>
  <c r="E171" i="3"/>
  <c r="B171" i="3"/>
  <c r="A171" i="3"/>
  <c r="Q170" i="3"/>
  <c r="P170" i="3"/>
  <c r="N170" i="3"/>
  <c r="M170" i="3"/>
  <c r="O170" i="3" s="1"/>
  <c r="L170" i="3"/>
  <c r="K170" i="3"/>
  <c r="J170" i="3"/>
  <c r="I170" i="3"/>
  <c r="H170" i="3"/>
  <c r="G170" i="3"/>
  <c r="F170" i="3"/>
  <c r="B170" i="3"/>
  <c r="A170" i="3"/>
  <c r="Q169" i="3"/>
  <c r="P169" i="3"/>
  <c r="N169" i="3"/>
  <c r="O169" i="3" s="1"/>
  <c r="M169" i="3"/>
  <c r="L169" i="3"/>
  <c r="K169" i="3"/>
  <c r="J169" i="3"/>
  <c r="I169" i="3"/>
  <c r="H169" i="3"/>
  <c r="G169" i="3"/>
  <c r="F169" i="3"/>
  <c r="E169" i="3"/>
  <c r="C169" i="3"/>
  <c r="B169" i="3"/>
  <c r="D169" i="3" s="1"/>
  <c r="A169" i="3"/>
  <c r="Q168" i="3"/>
  <c r="P168" i="3"/>
  <c r="N168" i="3"/>
  <c r="M168" i="3"/>
  <c r="L168" i="3"/>
  <c r="K168" i="3"/>
  <c r="J168" i="3"/>
  <c r="I168" i="3"/>
  <c r="H168" i="3"/>
  <c r="G168" i="3"/>
  <c r="F168" i="3"/>
  <c r="D168" i="3"/>
  <c r="C168" i="3"/>
  <c r="B168" i="3"/>
  <c r="E168" i="3" s="1"/>
  <c r="A168" i="3"/>
  <c r="Q167" i="3"/>
  <c r="P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167" i="3"/>
  <c r="Q166" i="3"/>
  <c r="P166" i="3"/>
  <c r="N166" i="3"/>
  <c r="M166" i="3"/>
  <c r="L166" i="3"/>
  <c r="K166" i="3"/>
  <c r="J166" i="3"/>
  <c r="I166" i="3"/>
  <c r="H166" i="3"/>
  <c r="G166" i="3"/>
  <c r="F166" i="3"/>
  <c r="E166" i="3"/>
  <c r="D166" i="3"/>
  <c r="B166" i="3"/>
  <c r="C166" i="3" s="1"/>
  <c r="A166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B165" i="3"/>
  <c r="A165" i="3"/>
  <c r="Q164" i="3"/>
  <c r="P164" i="3"/>
  <c r="N164" i="3"/>
  <c r="M164" i="3"/>
  <c r="L164" i="3"/>
  <c r="O164" i="3" s="1"/>
  <c r="K164" i="3"/>
  <c r="J164" i="3"/>
  <c r="I164" i="3"/>
  <c r="H164" i="3"/>
  <c r="G164" i="3"/>
  <c r="F164" i="3"/>
  <c r="E164" i="3"/>
  <c r="D164" i="3"/>
  <c r="C164" i="3"/>
  <c r="B164" i="3"/>
  <c r="A164" i="3"/>
  <c r="Q163" i="3"/>
  <c r="P163" i="3"/>
  <c r="N163" i="3"/>
  <c r="M163" i="3"/>
  <c r="L163" i="3"/>
  <c r="O163" i="3" s="1"/>
  <c r="K163" i="3"/>
  <c r="J163" i="3"/>
  <c r="I163" i="3"/>
  <c r="H163" i="3"/>
  <c r="G163" i="3"/>
  <c r="F163" i="3"/>
  <c r="B163" i="3"/>
  <c r="A163" i="3"/>
  <c r="Q162" i="3"/>
  <c r="P162" i="3"/>
  <c r="N162" i="3"/>
  <c r="M162" i="3"/>
  <c r="L162" i="3"/>
  <c r="K162" i="3"/>
  <c r="J162" i="3"/>
  <c r="I162" i="3"/>
  <c r="H162" i="3"/>
  <c r="G162" i="3"/>
  <c r="F162" i="3"/>
  <c r="B162" i="3"/>
  <c r="D162" i="3" s="1"/>
  <c r="A162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B161" i="3"/>
  <c r="C161" i="3" s="1"/>
  <c r="A161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B160" i="3"/>
  <c r="A160" i="3"/>
  <c r="Q159" i="3"/>
  <c r="P159" i="3"/>
  <c r="N159" i="3"/>
  <c r="M159" i="3"/>
  <c r="L159" i="3"/>
  <c r="K159" i="3"/>
  <c r="J159" i="3"/>
  <c r="I159" i="3"/>
  <c r="H159" i="3"/>
  <c r="G159" i="3"/>
  <c r="F159" i="3"/>
  <c r="C159" i="3"/>
  <c r="B159" i="3"/>
  <c r="A159" i="3"/>
  <c r="Q158" i="3"/>
  <c r="P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B157" i="3"/>
  <c r="A157" i="3"/>
  <c r="Q156" i="3"/>
  <c r="P156" i="3"/>
  <c r="N156" i="3"/>
  <c r="M156" i="3"/>
  <c r="L156" i="3"/>
  <c r="K156" i="3"/>
  <c r="J156" i="3"/>
  <c r="I156" i="3"/>
  <c r="H156" i="3"/>
  <c r="G156" i="3"/>
  <c r="F156" i="3"/>
  <c r="B156" i="3"/>
  <c r="A156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B155" i="3"/>
  <c r="E155" i="3" s="1"/>
  <c r="A155" i="3"/>
  <c r="Q154" i="3"/>
  <c r="P154" i="3"/>
  <c r="N154" i="3"/>
  <c r="M154" i="3"/>
  <c r="O154" i="3" s="1"/>
  <c r="L154" i="3"/>
  <c r="K154" i="3"/>
  <c r="J154" i="3"/>
  <c r="I154" i="3"/>
  <c r="H154" i="3"/>
  <c r="G154" i="3"/>
  <c r="F154" i="3"/>
  <c r="B154" i="3"/>
  <c r="A154" i="3"/>
  <c r="Q153" i="3"/>
  <c r="P153" i="3"/>
  <c r="N153" i="3"/>
  <c r="M153" i="3"/>
  <c r="L153" i="3"/>
  <c r="K153" i="3"/>
  <c r="J153" i="3"/>
  <c r="I153" i="3"/>
  <c r="H153" i="3"/>
  <c r="G153" i="3"/>
  <c r="F153" i="3"/>
  <c r="D153" i="3"/>
  <c r="B153" i="3"/>
  <c r="E153" i="3" s="1"/>
  <c r="A153" i="3"/>
  <c r="Q152" i="3"/>
  <c r="P152" i="3"/>
  <c r="N152" i="3"/>
  <c r="M152" i="3"/>
  <c r="O152" i="3" s="1"/>
  <c r="L152" i="3"/>
  <c r="K152" i="3"/>
  <c r="J152" i="3"/>
  <c r="I152" i="3"/>
  <c r="H152" i="3"/>
  <c r="G152" i="3"/>
  <c r="F152" i="3"/>
  <c r="E152" i="3"/>
  <c r="D152" i="3"/>
  <c r="C152" i="3"/>
  <c r="B152" i="3"/>
  <c r="A152" i="3"/>
  <c r="Q151" i="3"/>
  <c r="P151" i="3"/>
  <c r="N151" i="3"/>
  <c r="M151" i="3"/>
  <c r="L151" i="3"/>
  <c r="K151" i="3"/>
  <c r="J151" i="3"/>
  <c r="I151" i="3"/>
  <c r="H151" i="3"/>
  <c r="G151" i="3"/>
  <c r="F151" i="3"/>
  <c r="D151" i="3"/>
  <c r="C151" i="3"/>
  <c r="B151" i="3"/>
  <c r="E151" i="3" s="1"/>
  <c r="A151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D150" i="3"/>
  <c r="C150" i="3"/>
  <c r="B150" i="3"/>
  <c r="E150" i="3" s="1"/>
  <c r="A150" i="3"/>
  <c r="Q149" i="3"/>
  <c r="P149" i="3"/>
  <c r="N149" i="3"/>
  <c r="M149" i="3"/>
  <c r="L149" i="3"/>
  <c r="O149" i="3" s="1"/>
  <c r="K149" i="3"/>
  <c r="J149" i="3"/>
  <c r="I149" i="3"/>
  <c r="H149" i="3"/>
  <c r="G149" i="3"/>
  <c r="F149" i="3"/>
  <c r="E149" i="3"/>
  <c r="D149" i="3"/>
  <c r="C149" i="3"/>
  <c r="B149" i="3"/>
  <c r="A149" i="3"/>
  <c r="Q148" i="3"/>
  <c r="P148" i="3"/>
  <c r="N148" i="3"/>
  <c r="M148" i="3"/>
  <c r="L148" i="3"/>
  <c r="K148" i="3"/>
  <c r="J148" i="3"/>
  <c r="I148" i="3"/>
  <c r="H148" i="3"/>
  <c r="G148" i="3"/>
  <c r="F148" i="3"/>
  <c r="C148" i="3"/>
  <c r="B148" i="3"/>
  <c r="A148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147" i="3"/>
  <c r="Q146" i="3"/>
  <c r="P146" i="3"/>
  <c r="N146" i="3"/>
  <c r="M146" i="3"/>
  <c r="L146" i="3"/>
  <c r="K146" i="3"/>
  <c r="J146" i="3"/>
  <c r="I146" i="3"/>
  <c r="H146" i="3"/>
  <c r="G146" i="3"/>
  <c r="F146" i="3"/>
  <c r="D146" i="3"/>
  <c r="B146" i="3"/>
  <c r="A146" i="3"/>
  <c r="Q145" i="3"/>
  <c r="P145" i="3"/>
  <c r="N145" i="3"/>
  <c r="M145" i="3"/>
  <c r="L145" i="3"/>
  <c r="K145" i="3"/>
  <c r="J145" i="3"/>
  <c r="I145" i="3"/>
  <c r="H145" i="3"/>
  <c r="G145" i="3"/>
  <c r="F145" i="3"/>
  <c r="B145" i="3"/>
  <c r="E145" i="3" s="1"/>
  <c r="A145" i="3"/>
  <c r="Q144" i="3"/>
  <c r="P144" i="3"/>
  <c r="N144" i="3"/>
  <c r="O144" i="3" s="1"/>
  <c r="M144" i="3"/>
  <c r="L144" i="3"/>
  <c r="K144" i="3"/>
  <c r="J144" i="3"/>
  <c r="I144" i="3"/>
  <c r="H144" i="3"/>
  <c r="G144" i="3"/>
  <c r="F144" i="3"/>
  <c r="E144" i="3"/>
  <c r="D144" i="3"/>
  <c r="B144" i="3"/>
  <c r="C144" i="3" s="1"/>
  <c r="A144" i="3"/>
  <c r="Q143" i="3"/>
  <c r="P143" i="3"/>
  <c r="N143" i="3"/>
  <c r="M143" i="3"/>
  <c r="O143" i="3" s="1"/>
  <c r="L143" i="3"/>
  <c r="K143" i="3"/>
  <c r="J143" i="3"/>
  <c r="I143" i="3"/>
  <c r="H143" i="3"/>
  <c r="G143" i="3"/>
  <c r="F143" i="3"/>
  <c r="D143" i="3"/>
  <c r="C143" i="3"/>
  <c r="B143" i="3"/>
  <c r="E143" i="3" s="1"/>
  <c r="A143" i="3"/>
  <c r="Q142" i="3"/>
  <c r="P142" i="3"/>
  <c r="N142" i="3"/>
  <c r="M142" i="3"/>
  <c r="L142" i="3"/>
  <c r="O142" i="3" s="1"/>
  <c r="K142" i="3"/>
  <c r="J142" i="3"/>
  <c r="I142" i="3"/>
  <c r="H142" i="3"/>
  <c r="G142" i="3"/>
  <c r="F142" i="3"/>
  <c r="C142" i="3"/>
  <c r="B142" i="3"/>
  <c r="E142" i="3" s="1"/>
  <c r="A142" i="3"/>
  <c r="Q141" i="3"/>
  <c r="P141" i="3"/>
  <c r="N141" i="3"/>
  <c r="O141" i="3" s="1"/>
  <c r="M141" i="3"/>
  <c r="L141" i="3"/>
  <c r="K141" i="3"/>
  <c r="J141" i="3"/>
  <c r="I141" i="3"/>
  <c r="H141" i="3"/>
  <c r="G141" i="3"/>
  <c r="F141" i="3"/>
  <c r="E141" i="3"/>
  <c r="B141" i="3"/>
  <c r="D141" i="3" s="1"/>
  <c r="A141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C140" i="3"/>
  <c r="B140" i="3"/>
  <c r="D140" i="3" s="1"/>
  <c r="A140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139" i="3"/>
  <c r="Q138" i="3"/>
  <c r="P138" i="3"/>
  <c r="N138" i="3"/>
  <c r="M138" i="3"/>
  <c r="L138" i="3"/>
  <c r="K138" i="3"/>
  <c r="J138" i="3"/>
  <c r="I138" i="3"/>
  <c r="H138" i="3"/>
  <c r="G138" i="3"/>
  <c r="F138" i="3"/>
  <c r="B138" i="3"/>
  <c r="E138" i="3" s="1"/>
  <c r="A138" i="3"/>
  <c r="Q137" i="3"/>
  <c r="P137" i="3"/>
  <c r="N137" i="3"/>
  <c r="M137" i="3"/>
  <c r="O137" i="3" s="1"/>
  <c r="L137" i="3"/>
  <c r="K137" i="3"/>
  <c r="J137" i="3"/>
  <c r="I137" i="3"/>
  <c r="H137" i="3"/>
  <c r="G137" i="3"/>
  <c r="F137" i="3"/>
  <c r="D137" i="3"/>
  <c r="B137" i="3"/>
  <c r="A137" i="3"/>
  <c r="Q136" i="3"/>
  <c r="P136" i="3"/>
  <c r="N136" i="3"/>
  <c r="M136" i="3"/>
  <c r="O136" i="3" s="1"/>
  <c r="L136" i="3"/>
  <c r="K136" i="3"/>
  <c r="J136" i="3"/>
  <c r="I136" i="3"/>
  <c r="H136" i="3"/>
  <c r="G136" i="3"/>
  <c r="F136" i="3"/>
  <c r="E136" i="3"/>
  <c r="D136" i="3"/>
  <c r="B136" i="3"/>
  <c r="C136" i="3" s="1"/>
  <c r="A136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B135" i="3"/>
  <c r="A135" i="3"/>
  <c r="Q134" i="3"/>
  <c r="P134" i="3"/>
  <c r="N134" i="3"/>
  <c r="M134" i="3"/>
  <c r="O134" i="3" s="1"/>
  <c r="L134" i="3"/>
  <c r="K134" i="3"/>
  <c r="J134" i="3"/>
  <c r="I134" i="3"/>
  <c r="H134" i="3"/>
  <c r="G134" i="3"/>
  <c r="F134" i="3"/>
  <c r="B134" i="3"/>
  <c r="A134" i="3"/>
  <c r="Q133" i="3"/>
  <c r="P133" i="3"/>
  <c r="N133" i="3"/>
  <c r="M133" i="3"/>
  <c r="O133" i="3" s="1"/>
  <c r="L133" i="3"/>
  <c r="K133" i="3"/>
  <c r="J133" i="3"/>
  <c r="I133" i="3"/>
  <c r="H133" i="3"/>
  <c r="G133" i="3"/>
  <c r="F133" i="3"/>
  <c r="B133" i="3"/>
  <c r="C133" i="3" s="1"/>
  <c r="A133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B132" i="3"/>
  <c r="C132" i="3" s="1"/>
  <c r="A132" i="3"/>
  <c r="Q131" i="3"/>
  <c r="P131" i="3"/>
  <c r="N131" i="3"/>
  <c r="M131" i="3"/>
  <c r="L131" i="3"/>
  <c r="K131" i="3"/>
  <c r="J131" i="3"/>
  <c r="I131" i="3"/>
  <c r="H131" i="3"/>
  <c r="G131" i="3"/>
  <c r="F131" i="3"/>
  <c r="E131" i="3"/>
  <c r="D131" i="3"/>
  <c r="B131" i="3"/>
  <c r="C131" i="3" s="1"/>
  <c r="A131" i="3"/>
  <c r="Q130" i="3"/>
  <c r="P130" i="3"/>
  <c r="N130" i="3"/>
  <c r="O130" i="3" s="1"/>
  <c r="M130" i="3"/>
  <c r="L130" i="3"/>
  <c r="K130" i="3"/>
  <c r="J130" i="3"/>
  <c r="I130" i="3"/>
  <c r="H130" i="3"/>
  <c r="G130" i="3"/>
  <c r="F130" i="3"/>
  <c r="E130" i="3"/>
  <c r="D130" i="3"/>
  <c r="B130" i="3"/>
  <c r="C130" i="3" s="1"/>
  <c r="A130" i="3"/>
  <c r="Q129" i="3"/>
  <c r="P129" i="3"/>
  <c r="N129" i="3"/>
  <c r="M129" i="3"/>
  <c r="O129" i="3" s="1"/>
  <c r="L129" i="3"/>
  <c r="K129" i="3"/>
  <c r="J129" i="3"/>
  <c r="I129" i="3"/>
  <c r="H129" i="3"/>
  <c r="G129" i="3"/>
  <c r="F129" i="3"/>
  <c r="B129" i="3"/>
  <c r="C129" i="3" s="1"/>
  <c r="A129" i="3"/>
  <c r="Q128" i="3"/>
  <c r="P128" i="3"/>
  <c r="N128" i="3"/>
  <c r="O128" i="3" s="1"/>
  <c r="M128" i="3"/>
  <c r="L128" i="3"/>
  <c r="K128" i="3"/>
  <c r="J128" i="3"/>
  <c r="I128" i="3"/>
  <c r="H128" i="3"/>
  <c r="G128" i="3"/>
  <c r="F128" i="3"/>
  <c r="B128" i="3"/>
  <c r="E128" i="3" s="1"/>
  <c r="A128" i="3"/>
  <c r="Q127" i="3"/>
  <c r="P127" i="3"/>
  <c r="N127" i="3"/>
  <c r="O127" i="3" s="1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Q126" i="3"/>
  <c r="P126" i="3"/>
  <c r="N126" i="3"/>
  <c r="M126" i="3"/>
  <c r="L126" i="3"/>
  <c r="K126" i="3"/>
  <c r="J126" i="3"/>
  <c r="I126" i="3"/>
  <c r="H126" i="3"/>
  <c r="G126" i="3"/>
  <c r="F126" i="3"/>
  <c r="B126" i="3"/>
  <c r="A126" i="3"/>
  <c r="Q125" i="3"/>
  <c r="P125" i="3"/>
  <c r="N125" i="3"/>
  <c r="M125" i="3"/>
  <c r="O125" i="3" s="1"/>
  <c r="L125" i="3"/>
  <c r="K125" i="3"/>
  <c r="J125" i="3"/>
  <c r="I125" i="3"/>
  <c r="H125" i="3"/>
  <c r="G125" i="3"/>
  <c r="F125" i="3"/>
  <c r="E125" i="3"/>
  <c r="D125" i="3"/>
  <c r="C125" i="3"/>
  <c r="B125" i="3"/>
  <c r="A125" i="3"/>
  <c r="Q124" i="3"/>
  <c r="P124" i="3"/>
  <c r="N124" i="3"/>
  <c r="M124" i="3"/>
  <c r="L124" i="3"/>
  <c r="O124" i="3" s="1"/>
  <c r="K124" i="3"/>
  <c r="J124" i="3"/>
  <c r="I124" i="3"/>
  <c r="H124" i="3"/>
  <c r="G124" i="3"/>
  <c r="F124" i="3"/>
  <c r="D12" i="4" s="1"/>
  <c r="E124" i="3"/>
  <c r="D124" i="3"/>
  <c r="C124" i="3"/>
  <c r="B124" i="3"/>
  <c r="A124" i="3"/>
  <c r="Q123" i="3"/>
  <c r="P123" i="3"/>
  <c r="N123" i="3"/>
  <c r="M123" i="3"/>
  <c r="O123" i="3" s="1"/>
  <c r="L123" i="3"/>
  <c r="K123" i="3"/>
  <c r="J123" i="3"/>
  <c r="I123" i="3"/>
  <c r="H123" i="3"/>
  <c r="G123" i="3"/>
  <c r="F123" i="3"/>
  <c r="B123" i="3"/>
  <c r="A123" i="3"/>
  <c r="Q122" i="3"/>
  <c r="P122" i="3"/>
  <c r="N122" i="3"/>
  <c r="O122" i="3" s="1"/>
  <c r="M122" i="3"/>
  <c r="L122" i="3"/>
  <c r="K122" i="3"/>
  <c r="J122" i="3"/>
  <c r="I122" i="3"/>
  <c r="H122" i="3"/>
  <c r="G122" i="3"/>
  <c r="F122" i="3"/>
  <c r="B122" i="3"/>
  <c r="A122" i="3"/>
  <c r="Q121" i="3"/>
  <c r="P121" i="3"/>
  <c r="N121" i="3"/>
  <c r="M121" i="3"/>
  <c r="L121" i="3"/>
  <c r="K121" i="3"/>
  <c r="J121" i="3"/>
  <c r="I121" i="3"/>
  <c r="H121" i="3"/>
  <c r="G121" i="3"/>
  <c r="F121" i="3"/>
  <c r="B121" i="3"/>
  <c r="A121" i="3"/>
  <c r="Q120" i="3"/>
  <c r="P120" i="3"/>
  <c r="N120" i="3"/>
  <c r="M120" i="3"/>
  <c r="O120" i="3" s="1"/>
  <c r="L120" i="3"/>
  <c r="K120" i="3"/>
  <c r="J120" i="3"/>
  <c r="I120" i="3"/>
  <c r="H120" i="3"/>
  <c r="G120" i="3"/>
  <c r="F120" i="3"/>
  <c r="E120" i="3"/>
  <c r="D120" i="3"/>
  <c r="B120" i="3"/>
  <c r="C120" i="3" s="1"/>
  <c r="A120" i="3"/>
  <c r="Q119" i="3"/>
  <c r="P119" i="3"/>
  <c r="N119" i="3"/>
  <c r="M119" i="3"/>
  <c r="L119" i="3"/>
  <c r="O119" i="3" s="1"/>
  <c r="K119" i="3"/>
  <c r="J119" i="3"/>
  <c r="I119" i="3"/>
  <c r="H119" i="3"/>
  <c r="G119" i="3"/>
  <c r="F119" i="3"/>
  <c r="B119" i="3"/>
  <c r="A119" i="3"/>
  <c r="Q118" i="3"/>
  <c r="P118" i="3"/>
  <c r="N118" i="3"/>
  <c r="M118" i="3"/>
  <c r="L118" i="3"/>
  <c r="K118" i="3"/>
  <c r="J118" i="3"/>
  <c r="I118" i="3"/>
  <c r="H118" i="3"/>
  <c r="G118" i="3"/>
  <c r="F118" i="3"/>
  <c r="B118" i="3"/>
  <c r="E118" i="3" s="1"/>
  <c r="A118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B117" i="3"/>
  <c r="A117" i="3"/>
  <c r="Q116" i="3"/>
  <c r="P116" i="3"/>
  <c r="N116" i="3"/>
  <c r="M116" i="3"/>
  <c r="O116" i="3" s="1"/>
  <c r="L116" i="3"/>
  <c r="K116" i="3"/>
  <c r="J116" i="3"/>
  <c r="I116" i="3"/>
  <c r="H116" i="3"/>
  <c r="G116" i="3"/>
  <c r="F116" i="3"/>
  <c r="E116" i="3"/>
  <c r="D116" i="3"/>
  <c r="B116" i="3"/>
  <c r="C116" i="3" s="1"/>
  <c r="A116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C115" i="3"/>
  <c r="B115" i="3"/>
  <c r="D115" i="3" s="1"/>
  <c r="A115" i="3"/>
  <c r="Q114" i="3"/>
  <c r="P114" i="3"/>
  <c r="N114" i="3"/>
  <c r="M114" i="3"/>
  <c r="L114" i="3"/>
  <c r="K114" i="3"/>
  <c r="J114" i="3"/>
  <c r="I114" i="3"/>
  <c r="H114" i="3"/>
  <c r="G114" i="3"/>
  <c r="F114" i="3"/>
  <c r="E114" i="3"/>
  <c r="D114" i="3"/>
  <c r="B114" i="3"/>
  <c r="C114" i="3" s="1"/>
  <c r="A114" i="3"/>
  <c r="Q113" i="3"/>
  <c r="P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Q112" i="3"/>
  <c r="P112" i="3"/>
  <c r="N112" i="3"/>
  <c r="M112" i="3"/>
  <c r="O112" i="3" s="1"/>
  <c r="L112" i="3"/>
  <c r="K112" i="3"/>
  <c r="J112" i="3"/>
  <c r="I112" i="3"/>
  <c r="H112" i="3"/>
  <c r="G112" i="3"/>
  <c r="F112" i="3"/>
  <c r="D112" i="3"/>
  <c r="C112" i="3"/>
  <c r="B112" i="3"/>
  <c r="E112" i="3" s="1"/>
  <c r="A112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D111" i="3"/>
  <c r="C111" i="3"/>
  <c r="B111" i="3"/>
  <c r="E111" i="3" s="1"/>
  <c r="A111" i="3"/>
  <c r="Q110" i="3"/>
  <c r="P110" i="3"/>
  <c r="N110" i="3"/>
  <c r="M110" i="3"/>
  <c r="O110" i="3" s="1"/>
  <c r="L110" i="3"/>
  <c r="K110" i="3"/>
  <c r="J110" i="3"/>
  <c r="I110" i="3"/>
  <c r="H110" i="3"/>
  <c r="G110" i="3"/>
  <c r="F110" i="3"/>
  <c r="B110" i="3"/>
  <c r="C110" i="3" s="1"/>
  <c r="A110" i="3"/>
  <c r="Q109" i="3"/>
  <c r="P109" i="3"/>
  <c r="N109" i="3"/>
  <c r="M109" i="3"/>
  <c r="O109" i="3" s="1"/>
  <c r="L109" i="3"/>
  <c r="K109" i="3"/>
  <c r="J109" i="3"/>
  <c r="I109" i="3"/>
  <c r="H109" i="3"/>
  <c r="G109" i="3"/>
  <c r="F109" i="3"/>
  <c r="B109" i="3"/>
  <c r="A109" i="3"/>
  <c r="Q108" i="3"/>
  <c r="P108" i="3"/>
  <c r="N108" i="3"/>
  <c r="M108" i="3"/>
  <c r="O108" i="3" s="1"/>
  <c r="L108" i="3"/>
  <c r="K108" i="3"/>
  <c r="J108" i="3"/>
  <c r="I108" i="3"/>
  <c r="H108" i="3"/>
  <c r="G108" i="3"/>
  <c r="F108" i="3"/>
  <c r="B108" i="3"/>
  <c r="E108" i="3" s="1"/>
  <c r="A108" i="3"/>
  <c r="Q107" i="3"/>
  <c r="P107" i="3"/>
  <c r="N107" i="3"/>
  <c r="M107" i="3"/>
  <c r="O107" i="3" s="1"/>
  <c r="L107" i="3"/>
  <c r="K107" i="3"/>
  <c r="J107" i="3"/>
  <c r="I107" i="3"/>
  <c r="H107" i="3"/>
  <c r="G107" i="3"/>
  <c r="F107" i="3"/>
  <c r="E107" i="3"/>
  <c r="D107" i="3"/>
  <c r="C107" i="3"/>
  <c r="B107" i="3"/>
  <c r="A107" i="3"/>
  <c r="Q106" i="3"/>
  <c r="P106" i="3"/>
  <c r="N106" i="3"/>
  <c r="M106" i="3"/>
  <c r="O106" i="3" s="1"/>
  <c r="L106" i="3"/>
  <c r="K106" i="3"/>
  <c r="J106" i="3"/>
  <c r="I106" i="3"/>
  <c r="H106" i="3"/>
  <c r="G106" i="3"/>
  <c r="F106" i="3"/>
  <c r="E106" i="3"/>
  <c r="B106" i="3"/>
  <c r="D106" i="3" s="1"/>
  <c r="A106" i="3"/>
  <c r="Q105" i="3"/>
  <c r="P105" i="3"/>
  <c r="N105" i="3"/>
  <c r="M105" i="3"/>
  <c r="O105" i="3" s="1"/>
  <c r="L105" i="3"/>
  <c r="K105" i="3"/>
  <c r="J105" i="3"/>
  <c r="I105" i="3"/>
  <c r="H105" i="3"/>
  <c r="G105" i="3"/>
  <c r="F105" i="3"/>
  <c r="B105" i="3"/>
  <c r="C105" i="3" s="1"/>
  <c r="A105" i="3"/>
  <c r="Q104" i="3"/>
  <c r="P104" i="3"/>
  <c r="N104" i="3"/>
  <c r="M104" i="3"/>
  <c r="L104" i="3"/>
  <c r="O104" i="3" s="1"/>
  <c r="K104" i="3"/>
  <c r="J104" i="3"/>
  <c r="I104" i="3"/>
  <c r="H104" i="3"/>
  <c r="G104" i="3"/>
  <c r="F104" i="3"/>
  <c r="B104" i="3"/>
  <c r="A104" i="3"/>
  <c r="Q103" i="3"/>
  <c r="P103" i="3"/>
  <c r="N103" i="3"/>
  <c r="O103" i="3" s="1"/>
  <c r="M103" i="3"/>
  <c r="L103" i="3"/>
  <c r="K103" i="3"/>
  <c r="J103" i="3"/>
  <c r="I103" i="3"/>
  <c r="H103" i="3"/>
  <c r="G103" i="3"/>
  <c r="F103" i="3"/>
  <c r="E103" i="3"/>
  <c r="D103" i="3"/>
  <c r="C103" i="3"/>
  <c r="B103" i="3"/>
  <c r="A103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B102" i="3"/>
  <c r="E102" i="3" s="1"/>
  <c r="A102" i="3"/>
  <c r="Q101" i="3"/>
  <c r="P101" i="3"/>
  <c r="N101" i="3"/>
  <c r="M101" i="3"/>
  <c r="L101" i="3"/>
  <c r="K101" i="3"/>
  <c r="J101" i="3"/>
  <c r="I101" i="3"/>
  <c r="H101" i="3"/>
  <c r="G101" i="3"/>
  <c r="F101" i="3"/>
  <c r="B101" i="3"/>
  <c r="D101" i="3" s="1"/>
  <c r="A101" i="3"/>
  <c r="Q100" i="3"/>
  <c r="P100" i="3"/>
  <c r="N100" i="3"/>
  <c r="O100" i="3" s="1"/>
  <c r="M100" i="3"/>
  <c r="L100" i="3"/>
  <c r="K100" i="3"/>
  <c r="J100" i="3"/>
  <c r="I100" i="3"/>
  <c r="H100" i="3"/>
  <c r="M11" i="4" s="1"/>
  <c r="G100" i="3"/>
  <c r="F100" i="3"/>
  <c r="B100" i="3"/>
  <c r="E100" i="3" s="1"/>
  <c r="A100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B99" i="3"/>
  <c r="C99" i="3" s="1"/>
  <c r="A99" i="3"/>
  <c r="Q98" i="3"/>
  <c r="P98" i="3"/>
  <c r="N98" i="3"/>
  <c r="M98" i="3"/>
  <c r="L98" i="3"/>
  <c r="K98" i="3"/>
  <c r="J98" i="3"/>
  <c r="I98" i="3"/>
  <c r="H98" i="3"/>
  <c r="G98" i="3"/>
  <c r="F98" i="3"/>
  <c r="B98" i="3"/>
  <c r="A98" i="3"/>
  <c r="Q97" i="3"/>
  <c r="P97" i="3"/>
  <c r="N97" i="3"/>
  <c r="O97" i="3" s="1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Q96" i="3"/>
  <c r="P96" i="3"/>
  <c r="N96" i="3"/>
  <c r="M96" i="3"/>
  <c r="L96" i="3"/>
  <c r="K96" i="3"/>
  <c r="J96" i="3"/>
  <c r="I96" i="3"/>
  <c r="H96" i="3"/>
  <c r="G96" i="3"/>
  <c r="F96" i="3"/>
  <c r="E96" i="3"/>
  <c r="B96" i="3"/>
  <c r="C96" i="3" s="1"/>
  <c r="A96" i="3"/>
  <c r="Q95" i="3"/>
  <c r="P95" i="3"/>
  <c r="N95" i="3"/>
  <c r="M95" i="3"/>
  <c r="L95" i="3"/>
  <c r="O95" i="3" s="1"/>
  <c r="K95" i="3"/>
  <c r="J95" i="3"/>
  <c r="I95" i="3"/>
  <c r="H95" i="3"/>
  <c r="G95" i="3"/>
  <c r="F95" i="3"/>
  <c r="E95" i="3"/>
  <c r="D95" i="3"/>
  <c r="B95" i="3"/>
  <c r="C95" i="3" s="1"/>
  <c r="A95" i="3"/>
  <c r="Q94" i="3"/>
  <c r="P94" i="3"/>
  <c r="N94" i="3"/>
  <c r="O94" i="3" s="1"/>
  <c r="M94" i="3"/>
  <c r="L94" i="3"/>
  <c r="K94" i="3"/>
  <c r="J94" i="3"/>
  <c r="I94" i="3"/>
  <c r="H94" i="3"/>
  <c r="G94" i="3"/>
  <c r="F94" i="3"/>
  <c r="B94" i="3"/>
  <c r="C94" i="3" s="1"/>
  <c r="A94" i="3"/>
  <c r="Q93" i="3"/>
  <c r="P93" i="3"/>
  <c r="N93" i="3"/>
  <c r="O93" i="3" s="1"/>
  <c r="M93" i="3"/>
  <c r="L93" i="3"/>
  <c r="K93" i="3"/>
  <c r="J93" i="3"/>
  <c r="I93" i="3"/>
  <c r="H93" i="3"/>
  <c r="G93" i="3"/>
  <c r="F93" i="3"/>
  <c r="B93" i="3"/>
  <c r="A93" i="3"/>
  <c r="Q92" i="3"/>
  <c r="P92" i="3"/>
  <c r="N92" i="3"/>
  <c r="M92" i="3"/>
  <c r="O92" i="3" s="1"/>
  <c r="L92" i="3"/>
  <c r="K92" i="3"/>
  <c r="J92" i="3"/>
  <c r="I92" i="3"/>
  <c r="H92" i="3"/>
  <c r="G92" i="3"/>
  <c r="F92" i="3"/>
  <c r="B92" i="3"/>
  <c r="A92" i="3"/>
  <c r="Q91" i="3"/>
  <c r="P91" i="3"/>
  <c r="N91" i="3"/>
  <c r="M91" i="3"/>
  <c r="L91" i="3"/>
  <c r="K91" i="3"/>
  <c r="J91" i="3"/>
  <c r="I91" i="3"/>
  <c r="H91" i="3"/>
  <c r="G91" i="3"/>
  <c r="F91" i="3"/>
  <c r="B91" i="3"/>
  <c r="C91" i="3" s="1"/>
  <c r="A91" i="3"/>
  <c r="Q90" i="3"/>
  <c r="P90" i="3"/>
  <c r="N90" i="3"/>
  <c r="M90" i="3"/>
  <c r="O90" i="3" s="1"/>
  <c r="L90" i="3"/>
  <c r="K90" i="3"/>
  <c r="J90" i="3"/>
  <c r="I90" i="3"/>
  <c r="H90" i="3"/>
  <c r="G90" i="3"/>
  <c r="F90" i="3"/>
  <c r="E90" i="3"/>
  <c r="B90" i="3"/>
  <c r="D90" i="3" s="1"/>
  <c r="A90" i="3"/>
  <c r="Q89" i="3"/>
  <c r="P89" i="3"/>
  <c r="O89" i="3"/>
  <c r="N89" i="3"/>
  <c r="M89" i="3"/>
  <c r="L89" i="3"/>
  <c r="K89" i="3"/>
  <c r="J89" i="3"/>
  <c r="I89" i="3"/>
  <c r="H89" i="3"/>
  <c r="G89" i="3"/>
  <c r="F89" i="3"/>
  <c r="B89" i="3"/>
  <c r="E89" i="3" s="1"/>
  <c r="A89" i="3"/>
  <c r="Q88" i="3"/>
  <c r="P88" i="3"/>
  <c r="O88" i="3"/>
  <c r="N88" i="3"/>
  <c r="M88" i="3"/>
  <c r="L88" i="3"/>
  <c r="K88" i="3"/>
  <c r="J88" i="3"/>
  <c r="I88" i="3"/>
  <c r="H88" i="3"/>
  <c r="G88" i="3"/>
  <c r="F88" i="3"/>
  <c r="B88" i="3"/>
  <c r="A88" i="3"/>
  <c r="Q87" i="3"/>
  <c r="P87" i="3"/>
  <c r="N87" i="3"/>
  <c r="M87" i="3"/>
  <c r="O87" i="3" s="1"/>
  <c r="L87" i="3"/>
  <c r="K87" i="3"/>
  <c r="J87" i="3"/>
  <c r="I87" i="3"/>
  <c r="H87" i="3"/>
  <c r="G87" i="3"/>
  <c r="F87" i="3"/>
  <c r="E87" i="3"/>
  <c r="D87" i="3"/>
  <c r="C87" i="3"/>
  <c r="B87" i="3"/>
  <c r="A87" i="3"/>
  <c r="Q86" i="3"/>
  <c r="P86" i="3"/>
  <c r="N86" i="3"/>
  <c r="M86" i="3"/>
  <c r="O86" i="3" s="1"/>
  <c r="L86" i="3"/>
  <c r="K86" i="3"/>
  <c r="J86" i="3"/>
  <c r="I86" i="3"/>
  <c r="H86" i="3"/>
  <c r="G86" i="3"/>
  <c r="F86" i="3"/>
  <c r="E86" i="3"/>
  <c r="D86" i="3"/>
  <c r="B86" i="3"/>
  <c r="C86" i="3" s="1"/>
  <c r="A86" i="3"/>
  <c r="Q85" i="3"/>
  <c r="P85" i="3"/>
  <c r="N85" i="3"/>
  <c r="M85" i="3"/>
  <c r="O85" i="3" s="1"/>
  <c r="L85" i="3"/>
  <c r="K85" i="3"/>
  <c r="J85" i="3"/>
  <c r="I85" i="3"/>
  <c r="H85" i="3"/>
  <c r="G85" i="3"/>
  <c r="F85" i="3"/>
  <c r="B85" i="3"/>
  <c r="D85" i="3" s="1"/>
  <c r="A85" i="3"/>
  <c r="Q84" i="3"/>
  <c r="P84" i="3"/>
  <c r="N84" i="3"/>
  <c r="M84" i="3"/>
  <c r="L84" i="3"/>
  <c r="K84" i="3"/>
  <c r="J84" i="3"/>
  <c r="I84" i="3"/>
  <c r="H84" i="3"/>
  <c r="G84" i="3"/>
  <c r="F84" i="3"/>
  <c r="B84" i="3"/>
  <c r="A84" i="3"/>
  <c r="Q83" i="3"/>
  <c r="P83" i="3"/>
  <c r="N83" i="3"/>
  <c r="O83" i="3" s="1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Q82" i="3"/>
  <c r="P82" i="3"/>
  <c r="N82" i="3"/>
  <c r="M82" i="3"/>
  <c r="L82" i="3"/>
  <c r="K82" i="3"/>
  <c r="J82" i="3"/>
  <c r="I82" i="3"/>
  <c r="H82" i="3"/>
  <c r="G82" i="3"/>
  <c r="F82" i="3"/>
  <c r="B82" i="3"/>
  <c r="E82" i="3" s="1"/>
  <c r="A82" i="3"/>
  <c r="Q81" i="3"/>
  <c r="P81" i="3"/>
  <c r="N81" i="3"/>
  <c r="M81" i="3"/>
  <c r="O81" i="3" s="1"/>
  <c r="L81" i="3"/>
  <c r="K81" i="3"/>
  <c r="J81" i="3"/>
  <c r="I81" i="3"/>
  <c r="H81" i="3"/>
  <c r="G81" i="3"/>
  <c r="F81" i="3"/>
  <c r="B81" i="3"/>
  <c r="A81" i="3"/>
  <c r="Q80" i="3"/>
  <c r="P80" i="3"/>
  <c r="N80" i="3"/>
  <c r="M80" i="3"/>
  <c r="O80" i="3" s="1"/>
  <c r="L80" i="3"/>
  <c r="K80" i="3"/>
  <c r="J80" i="3"/>
  <c r="I80" i="3"/>
  <c r="H80" i="3"/>
  <c r="G80" i="3"/>
  <c r="F80" i="3"/>
  <c r="E80" i="3"/>
  <c r="D80" i="3"/>
  <c r="C80" i="3"/>
  <c r="B80" i="3"/>
  <c r="A80" i="3"/>
  <c r="Q79" i="3"/>
  <c r="P79" i="3"/>
  <c r="N79" i="3"/>
  <c r="M79" i="3"/>
  <c r="L79" i="3"/>
  <c r="K79" i="3"/>
  <c r="J79" i="3"/>
  <c r="I79" i="3"/>
  <c r="H79" i="3"/>
  <c r="G79" i="3"/>
  <c r="F79" i="3"/>
  <c r="B79" i="3"/>
  <c r="E79" i="3" s="1"/>
  <c r="A79" i="3"/>
  <c r="Q78" i="3"/>
  <c r="P78" i="3"/>
  <c r="N78" i="3"/>
  <c r="M78" i="3"/>
  <c r="L78" i="3"/>
  <c r="K78" i="3"/>
  <c r="J78" i="3"/>
  <c r="I78" i="3"/>
  <c r="H78" i="3"/>
  <c r="G78" i="3"/>
  <c r="F78" i="3"/>
  <c r="B78" i="3"/>
  <c r="A78" i="3"/>
  <c r="Q77" i="3"/>
  <c r="P77" i="3"/>
  <c r="N77" i="3"/>
  <c r="M77" i="3"/>
  <c r="O77" i="3" s="1"/>
  <c r="L77" i="3"/>
  <c r="K77" i="3"/>
  <c r="J77" i="3"/>
  <c r="I77" i="3"/>
  <c r="H77" i="3"/>
  <c r="G77" i="3"/>
  <c r="F77" i="3"/>
  <c r="E77" i="3"/>
  <c r="D77" i="3"/>
  <c r="C77" i="3"/>
  <c r="B77" i="3"/>
  <c r="A77" i="3"/>
  <c r="Q76" i="3"/>
  <c r="P76" i="3"/>
  <c r="N76" i="3"/>
  <c r="M76" i="3"/>
  <c r="L76" i="3"/>
  <c r="K76" i="3"/>
  <c r="J76" i="3"/>
  <c r="I76" i="3"/>
  <c r="H76" i="3"/>
  <c r="G76" i="3"/>
  <c r="F76" i="3"/>
  <c r="C76" i="3"/>
  <c r="B76" i="3"/>
  <c r="E76" i="3" s="1"/>
  <c r="A76" i="3"/>
  <c r="Q75" i="3"/>
  <c r="P75" i="3"/>
  <c r="N75" i="3"/>
  <c r="M75" i="3"/>
  <c r="O75" i="3" s="1"/>
  <c r="L75" i="3"/>
  <c r="K75" i="3"/>
  <c r="J75" i="3"/>
  <c r="I75" i="3"/>
  <c r="H75" i="3"/>
  <c r="G75" i="3"/>
  <c r="F75" i="3"/>
  <c r="E75" i="3"/>
  <c r="D75" i="3"/>
  <c r="C75" i="3"/>
  <c r="B75" i="3"/>
  <c r="A75" i="3"/>
  <c r="Q74" i="3"/>
  <c r="P74" i="3"/>
  <c r="N74" i="3"/>
  <c r="O74" i="3" s="1"/>
  <c r="M74" i="3"/>
  <c r="L74" i="3"/>
  <c r="K74" i="3"/>
  <c r="J74" i="3"/>
  <c r="I74" i="3"/>
  <c r="H74" i="3"/>
  <c r="G74" i="3"/>
  <c r="F74" i="3"/>
  <c r="B74" i="3"/>
  <c r="C74" i="3" s="1"/>
  <c r="A74" i="3"/>
  <c r="Q73" i="3"/>
  <c r="P73" i="3"/>
  <c r="N73" i="3"/>
  <c r="M73" i="3"/>
  <c r="O73" i="3" s="1"/>
  <c r="L73" i="3"/>
  <c r="K73" i="3"/>
  <c r="J73" i="3"/>
  <c r="I73" i="3"/>
  <c r="H73" i="3"/>
  <c r="G73" i="3"/>
  <c r="F73" i="3"/>
  <c r="B73" i="3"/>
  <c r="E73" i="3" s="1"/>
  <c r="A73" i="3"/>
  <c r="Q72" i="3"/>
  <c r="P72" i="3"/>
  <c r="N72" i="3"/>
  <c r="M72" i="3"/>
  <c r="O72" i="3" s="1"/>
  <c r="L72" i="3"/>
  <c r="K72" i="3"/>
  <c r="J72" i="3"/>
  <c r="I72" i="3"/>
  <c r="H72" i="3"/>
  <c r="G72" i="3"/>
  <c r="F72" i="3"/>
  <c r="E72" i="3"/>
  <c r="D72" i="3"/>
  <c r="C72" i="3"/>
  <c r="B72" i="3"/>
  <c r="A72" i="3"/>
  <c r="Q71" i="3"/>
  <c r="P71" i="3"/>
  <c r="O71" i="3"/>
  <c r="N71" i="3"/>
  <c r="M71" i="3"/>
  <c r="L71" i="3"/>
  <c r="K71" i="3"/>
  <c r="J71" i="3"/>
  <c r="I71" i="3"/>
  <c r="H71" i="3"/>
  <c r="G71" i="3"/>
  <c r="F71" i="3"/>
  <c r="B71" i="3"/>
  <c r="A71" i="3"/>
  <c r="Q70" i="3"/>
  <c r="P70" i="3"/>
  <c r="N70" i="3"/>
  <c r="M70" i="3"/>
  <c r="O70" i="3" s="1"/>
  <c r="L70" i="3"/>
  <c r="K70" i="3"/>
  <c r="J70" i="3"/>
  <c r="I70" i="3"/>
  <c r="H70" i="3"/>
  <c r="G70" i="3"/>
  <c r="F70" i="3"/>
  <c r="B70" i="3"/>
  <c r="A70" i="3"/>
  <c r="Q69" i="3"/>
  <c r="P69" i="3"/>
  <c r="N69" i="3"/>
  <c r="M69" i="3"/>
  <c r="L69" i="3"/>
  <c r="O69" i="3" s="1"/>
  <c r="K69" i="3"/>
  <c r="J69" i="3"/>
  <c r="I69" i="3"/>
  <c r="H69" i="3"/>
  <c r="G69" i="3"/>
  <c r="F69" i="3"/>
  <c r="E69" i="3"/>
  <c r="D69" i="3"/>
  <c r="C69" i="3"/>
  <c r="B69" i="3"/>
  <c r="A69" i="3"/>
  <c r="Q68" i="3"/>
  <c r="P68" i="3"/>
  <c r="N68" i="3"/>
  <c r="M68" i="3"/>
  <c r="O68" i="3" s="1"/>
  <c r="L68" i="3"/>
  <c r="K68" i="3"/>
  <c r="J68" i="3"/>
  <c r="I68" i="3"/>
  <c r="H68" i="3"/>
  <c r="G68" i="3"/>
  <c r="F68" i="3"/>
  <c r="B68" i="3"/>
  <c r="E68" i="3" s="1"/>
  <c r="A68" i="3"/>
  <c r="Q67" i="3"/>
  <c r="P67" i="3"/>
  <c r="N67" i="3"/>
  <c r="M67" i="3"/>
  <c r="L67" i="3"/>
  <c r="O67" i="3" s="1"/>
  <c r="K67" i="3"/>
  <c r="J67" i="3"/>
  <c r="I67" i="3"/>
  <c r="H67" i="3"/>
  <c r="G67" i="3"/>
  <c r="F67" i="3"/>
  <c r="E67" i="3"/>
  <c r="D67" i="3"/>
  <c r="C67" i="3"/>
  <c r="B67" i="3"/>
  <c r="A67" i="3"/>
  <c r="Q66" i="3"/>
  <c r="P66" i="3"/>
  <c r="N66" i="3"/>
  <c r="M66" i="3"/>
  <c r="O66" i="3" s="1"/>
  <c r="L66" i="3"/>
  <c r="K66" i="3"/>
  <c r="J66" i="3"/>
  <c r="I66" i="3"/>
  <c r="H66" i="3"/>
  <c r="G66" i="3"/>
  <c r="F66" i="3"/>
  <c r="B66" i="3"/>
  <c r="C66" i="3" s="1"/>
  <c r="A66" i="3"/>
  <c r="Q65" i="3"/>
  <c r="P65" i="3"/>
  <c r="N65" i="3"/>
  <c r="O65" i="3" s="1"/>
  <c r="M65" i="3"/>
  <c r="L65" i="3"/>
  <c r="K65" i="3"/>
  <c r="J65" i="3"/>
  <c r="I65" i="3"/>
  <c r="H65" i="3"/>
  <c r="G65" i="3"/>
  <c r="F65" i="3"/>
  <c r="B65" i="3"/>
  <c r="A65" i="3"/>
  <c r="Q64" i="3"/>
  <c r="P64" i="3"/>
  <c r="N64" i="3"/>
  <c r="O64" i="3" s="1"/>
  <c r="M64" i="3"/>
  <c r="L64" i="3"/>
  <c r="K64" i="3"/>
  <c r="J64" i="3"/>
  <c r="I64" i="3"/>
  <c r="H64" i="3"/>
  <c r="G64" i="3"/>
  <c r="F64" i="3"/>
  <c r="E64" i="3"/>
  <c r="D64" i="3"/>
  <c r="B64" i="3"/>
  <c r="C64" i="3" s="1"/>
  <c r="A64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B63" i="3"/>
  <c r="D63" i="3" s="1"/>
  <c r="A63" i="3"/>
  <c r="Q62" i="3"/>
  <c r="P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B61" i="3"/>
  <c r="D61" i="3" s="1"/>
  <c r="A61" i="3"/>
  <c r="Q60" i="3"/>
  <c r="P60" i="3"/>
  <c r="O60" i="3"/>
  <c r="N60" i="3"/>
  <c r="M60" i="3"/>
  <c r="L60" i="3"/>
  <c r="K60" i="3"/>
  <c r="J60" i="3"/>
  <c r="I60" i="3"/>
  <c r="H60" i="3"/>
  <c r="G60" i="3"/>
  <c r="F60" i="3"/>
  <c r="B60" i="3"/>
  <c r="D60" i="3" s="1"/>
  <c r="A60" i="3"/>
  <c r="Q59" i="3"/>
  <c r="P59" i="3"/>
  <c r="N59" i="3"/>
  <c r="M59" i="3"/>
  <c r="O59" i="3" s="1"/>
  <c r="L59" i="3"/>
  <c r="K59" i="3"/>
  <c r="J59" i="3"/>
  <c r="I59" i="3"/>
  <c r="H59" i="3"/>
  <c r="G59" i="3"/>
  <c r="F59" i="3"/>
  <c r="B59" i="3"/>
  <c r="A59" i="3"/>
  <c r="Q58" i="3"/>
  <c r="P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Q57" i="3"/>
  <c r="P57" i="3"/>
  <c r="O57" i="3"/>
  <c r="N57" i="3"/>
  <c r="M57" i="3"/>
  <c r="L57" i="3"/>
  <c r="K57" i="3"/>
  <c r="J57" i="3"/>
  <c r="I57" i="3"/>
  <c r="H57" i="3"/>
  <c r="G57" i="3"/>
  <c r="F57" i="3"/>
  <c r="B57" i="3"/>
  <c r="E57" i="3" s="1"/>
  <c r="A57" i="3"/>
  <c r="Q56" i="3"/>
  <c r="P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Q55" i="3"/>
  <c r="P55" i="3"/>
  <c r="O55" i="3"/>
  <c r="N55" i="3"/>
  <c r="M55" i="3"/>
  <c r="L55" i="3"/>
  <c r="K55" i="3"/>
  <c r="J55" i="3"/>
  <c r="I55" i="3"/>
  <c r="H55" i="3"/>
  <c r="G55" i="3"/>
  <c r="F55" i="3"/>
  <c r="B55" i="3"/>
  <c r="E55" i="3" s="1"/>
  <c r="A55" i="3"/>
  <c r="Q54" i="3"/>
  <c r="P54" i="3"/>
  <c r="N54" i="3"/>
  <c r="M54" i="3"/>
  <c r="O54" i="3" s="1"/>
  <c r="L54" i="3"/>
  <c r="K54" i="3"/>
  <c r="J54" i="3"/>
  <c r="I54" i="3"/>
  <c r="H54" i="3"/>
  <c r="G54" i="3"/>
  <c r="F54" i="3"/>
  <c r="D54" i="3"/>
  <c r="B54" i="3"/>
  <c r="A54" i="3"/>
  <c r="Q53" i="3"/>
  <c r="P53" i="3"/>
  <c r="N53" i="3"/>
  <c r="M53" i="3"/>
  <c r="O53" i="3" s="1"/>
  <c r="L53" i="3"/>
  <c r="K53" i="3"/>
  <c r="J53" i="3"/>
  <c r="I53" i="3"/>
  <c r="H53" i="3"/>
  <c r="G53" i="3"/>
  <c r="F53" i="3"/>
  <c r="D53" i="3"/>
  <c r="C53" i="3"/>
  <c r="B53" i="3"/>
  <c r="E53" i="3" s="1"/>
  <c r="A53" i="3"/>
  <c r="Q52" i="3"/>
  <c r="P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Q51" i="3"/>
  <c r="P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Q50" i="3"/>
  <c r="P50" i="3"/>
  <c r="O50" i="3"/>
  <c r="N50" i="3"/>
  <c r="M50" i="3"/>
  <c r="L50" i="3"/>
  <c r="K50" i="3"/>
  <c r="J50" i="3"/>
  <c r="I50" i="3"/>
  <c r="H50" i="3"/>
  <c r="G50" i="3"/>
  <c r="F50" i="3"/>
  <c r="B50" i="3"/>
  <c r="E50" i="3" s="1"/>
  <c r="A50" i="3"/>
  <c r="Q49" i="3"/>
  <c r="P49" i="3"/>
  <c r="N49" i="3"/>
  <c r="M49" i="3"/>
  <c r="L49" i="3"/>
  <c r="O49" i="3" s="1"/>
  <c r="K49" i="3"/>
  <c r="J49" i="3"/>
  <c r="I49" i="3"/>
  <c r="H49" i="3"/>
  <c r="G49" i="3"/>
  <c r="F49" i="3"/>
  <c r="D49" i="3"/>
  <c r="C49" i="3"/>
  <c r="B49" i="3"/>
  <c r="E49" i="3" s="1"/>
  <c r="A49" i="3"/>
  <c r="Q48" i="3"/>
  <c r="P48" i="3"/>
  <c r="N48" i="3"/>
  <c r="M48" i="3"/>
  <c r="O48" i="3" s="1"/>
  <c r="L48" i="3"/>
  <c r="K48" i="3"/>
  <c r="J48" i="3"/>
  <c r="I48" i="3"/>
  <c r="H48" i="3"/>
  <c r="G48" i="3"/>
  <c r="F48" i="3"/>
  <c r="B48" i="3"/>
  <c r="A48" i="3"/>
  <c r="Q47" i="3"/>
  <c r="P47" i="3"/>
  <c r="N47" i="3"/>
  <c r="M47" i="3"/>
  <c r="L47" i="3"/>
  <c r="O47" i="3" s="1"/>
  <c r="K47" i="3"/>
  <c r="J47" i="3"/>
  <c r="I47" i="3"/>
  <c r="H47" i="3"/>
  <c r="G47" i="3"/>
  <c r="F47" i="3"/>
  <c r="E47" i="3"/>
  <c r="D47" i="3"/>
  <c r="C47" i="3"/>
  <c r="B47" i="3"/>
  <c r="A47" i="3"/>
  <c r="Q46" i="3"/>
  <c r="P46" i="3"/>
  <c r="N46" i="3"/>
  <c r="M46" i="3"/>
  <c r="O46" i="3" s="1"/>
  <c r="L46" i="3"/>
  <c r="K46" i="3"/>
  <c r="J46" i="3"/>
  <c r="I46" i="3"/>
  <c r="H46" i="3"/>
  <c r="G46" i="3"/>
  <c r="F46" i="3"/>
  <c r="B46" i="3"/>
  <c r="C46" i="3" s="1"/>
  <c r="A46" i="3"/>
  <c r="Q45" i="3"/>
  <c r="P45" i="3"/>
  <c r="N45" i="3"/>
  <c r="M45" i="3"/>
  <c r="L45" i="3"/>
  <c r="O45" i="3" s="1"/>
  <c r="K45" i="3"/>
  <c r="J45" i="3"/>
  <c r="I45" i="3"/>
  <c r="H45" i="3"/>
  <c r="G45" i="3"/>
  <c r="F45" i="3"/>
  <c r="B45" i="3"/>
  <c r="C45" i="3" s="1"/>
  <c r="A45" i="3"/>
  <c r="Q44" i="3"/>
  <c r="P44" i="3"/>
  <c r="N44" i="3"/>
  <c r="O44" i="3" s="1"/>
  <c r="M44" i="3"/>
  <c r="L44" i="3"/>
  <c r="K44" i="3"/>
  <c r="J44" i="3"/>
  <c r="I44" i="3"/>
  <c r="H44" i="3"/>
  <c r="G44" i="3"/>
  <c r="F44" i="3"/>
  <c r="B44" i="3"/>
  <c r="A44" i="3"/>
  <c r="Q43" i="3"/>
  <c r="P43" i="3"/>
  <c r="N43" i="3"/>
  <c r="M43" i="3"/>
  <c r="L43" i="3"/>
  <c r="K43" i="3"/>
  <c r="J43" i="3"/>
  <c r="I43" i="3"/>
  <c r="H43" i="3"/>
  <c r="G43" i="3"/>
  <c r="F43" i="3"/>
  <c r="D43" i="3"/>
  <c r="B43" i="3"/>
  <c r="E43" i="3" s="1"/>
  <c r="A43" i="3"/>
  <c r="Q42" i="3"/>
  <c r="P42" i="3"/>
  <c r="N42" i="3"/>
  <c r="M42" i="3"/>
  <c r="O42" i="3" s="1"/>
  <c r="L42" i="3"/>
  <c r="K42" i="3"/>
  <c r="J42" i="3"/>
  <c r="I42" i="3"/>
  <c r="H42" i="3"/>
  <c r="G42" i="3"/>
  <c r="F42" i="3"/>
  <c r="C42" i="3"/>
  <c r="B42" i="3"/>
  <c r="E42" i="3" s="1"/>
  <c r="A42" i="3"/>
  <c r="Q41" i="3"/>
  <c r="P41" i="3"/>
  <c r="N41" i="3"/>
  <c r="M41" i="3"/>
  <c r="O41" i="3" s="1"/>
  <c r="L41" i="3"/>
  <c r="K41" i="3"/>
  <c r="J41" i="3"/>
  <c r="I41" i="3"/>
  <c r="H41" i="3"/>
  <c r="G41" i="3"/>
  <c r="F41" i="3"/>
  <c r="B41" i="3"/>
  <c r="A41" i="3"/>
  <c r="Q40" i="3"/>
  <c r="P40" i="3"/>
  <c r="N40" i="3"/>
  <c r="M40" i="3"/>
  <c r="O40" i="3" s="1"/>
  <c r="L40" i="3"/>
  <c r="K40" i="3"/>
  <c r="J40" i="3"/>
  <c r="I40" i="3"/>
  <c r="H40" i="3"/>
  <c r="G40" i="3"/>
  <c r="F40" i="3"/>
  <c r="E40" i="3"/>
  <c r="B40" i="3"/>
  <c r="A40" i="3"/>
  <c r="Q39" i="3"/>
  <c r="P39" i="3"/>
  <c r="N39" i="3"/>
  <c r="O39" i="3" s="1"/>
  <c r="M39" i="3"/>
  <c r="L39" i="3"/>
  <c r="K39" i="3"/>
  <c r="J39" i="3"/>
  <c r="I39" i="3"/>
  <c r="H39" i="3"/>
  <c r="G39" i="3"/>
  <c r="F39" i="3"/>
  <c r="B39" i="3"/>
  <c r="E39" i="3" s="1"/>
  <c r="A39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B38" i="3"/>
  <c r="C38" i="3" s="1"/>
  <c r="A38" i="3"/>
  <c r="Q37" i="3"/>
  <c r="P37" i="3"/>
  <c r="N37" i="3"/>
  <c r="M37" i="3"/>
  <c r="L37" i="3"/>
  <c r="K37" i="3"/>
  <c r="J37" i="3"/>
  <c r="I37" i="3"/>
  <c r="H37" i="3"/>
  <c r="G37" i="3"/>
  <c r="F37" i="3"/>
  <c r="B37" i="3"/>
  <c r="A37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B36" i="3"/>
  <c r="C36" i="3" s="1"/>
  <c r="A36" i="3"/>
  <c r="Q35" i="3"/>
  <c r="P35" i="3"/>
  <c r="N35" i="3"/>
  <c r="M35" i="3"/>
  <c r="L35" i="3"/>
  <c r="K35" i="3"/>
  <c r="J35" i="3"/>
  <c r="I35" i="3"/>
  <c r="H35" i="3"/>
  <c r="G35" i="3"/>
  <c r="F35" i="3"/>
  <c r="B35" i="3"/>
  <c r="A35" i="3"/>
  <c r="Q34" i="3"/>
  <c r="P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Q33" i="3"/>
  <c r="P33" i="3"/>
  <c r="N33" i="3"/>
  <c r="O33" i="3" s="1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Q32" i="3"/>
  <c r="P32" i="3"/>
  <c r="N32" i="3"/>
  <c r="M32" i="3"/>
  <c r="L32" i="3"/>
  <c r="K32" i="3"/>
  <c r="J32" i="3"/>
  <c r="I32" i="3"/>
  <c r="H32" i="3"/>
  <c r="G32" i="3"/>
  <c r="F32" i="3"/>
  <c r="B32" i="3"/>
  <c r="E32" i="3" s="1"/>
  <c r="A32" i="3"/>
  <c r="Q31" i="3"/>
  <c r="P31" i="3"/>
  <c r="N31" i="3"/>
  <c r="M31" i="3"/>
  <c r="L31" i="3"/>
  <c r="O31" i="3" s="1"/>
  <c r="K31" i="3"/>
  <c r="J31" i="3"/>
  <c r="I31" i="3"/>
  <c r="H31" i="3"/>
  <c r="G31" i="3"/>
  <c r="F31" i="3"/>
  <c r="E31" i="3"/>
  <c r="C31" i="3"/>
  <c r="B31" i="3"/>
  <c r="D31" i="3" s="1"/>
  <c r="A31" i="3"/>
  <c r="Q30" i="3"/>
  <c r="P30" i="3"/>
  <c r="N30" i="3"/>
  <c r="M30" i="3"/>
  <c r="O30" i="3" s="1"/>
  <c r="L30" i="3"/>
  <c r="K30" i="3"/>
  <c r="J30" i="3"/>
  <c r="I30" i="3"/>
  <c r="H30" i="3"/>
  <c r="G30" i="3"/>
  <c r="F30" i="3"/>
  <c r="E30" i="3"/>
  <c r="B30" i="3"/>
  <c r="A30" i="3"/>
  <c r="Q29" i="3"/>
  <c r="P29" i="3"/>
  <c r="O29" i="3"/>
  <c r="N29" i="3"/>
  <c r="M29" i="3"/>
  <c r="L29" i="3"/>
  <c r="K29" i="3"/>
  <c r="J29" i="3"/>
  <c r="I29" i="3"/>
  <c r="H29" i="3"/>
  <c r="G29" i="3"/>
  <c r="F29" i="3"/>
  <c r="B29" i="3"/>
  <c r="A29" i="3"/>
  <c r="Q28" i="3"/>
  <c r="P28" i="3"/>
  <c r="N28" i="3"/>
  <c r="M28" i="3"/>
  <c r="O28" i="3" s="1"/>
  <c r="L28" i="3"/>
  <c r="K28" i="3"/>
  <c r="J28" i="3"/>
  <c r="I28" i="3"/>
  <c r="H28" i="3"/>
  <c r="G28" i="3"/>
  <c r="F28" i="3"/>
  <c r="E28" i="3"/>
  <c r="D28" i="3"/>
  <c r="B28" i="3"/>
  <c r="C28" i="3" s="1"/>
  <c r="A28" i="3"/>
  <c r="Q27" i="3"/>
  <c r="P27" i="3"/>
  <c r="N27" i="3"/>
  <c r="M27" i="3"/>
  <c r="O27" i="3" s="1"/>
  <c r="L27" i="3"/>
  <c r="K27" i="3"/>
  <c r="J27" i="3"/>
  <c r="I27" i="3"/>
  <c r="H27" i="3"/>
  <c r="G27" i="3"/>
  <c r="F27" i="3"/>
  <c r="E27" i="3"/>
  <c r="D27" i="3"/>
  <c r="C27" i="3"/>
  <c r="B27" i="3"/>
  <c r="A27" i="3"/>
  <c r="Q26" i="3"/>
  <c r="P26" i="3"/>
  <c r="N26" i="3"/>
  <c r="O26" i="3" s="1"/>
  <c r="M26" i="3"/>
  <c r="L26" i="3"/>
  <c r="K26" i="3"/>
  <c r="J26" i="3"/>
  <c r="I26" i="3"/>
  <c r="H26" i="3"/>
  <c r="G26" i="3"/>
  <c r="F26" i="3"/>
  <c r="E26" i="3"/>
  <c r="D26" i="3"/>
  <c r="B26" i="3"/>
  <c r="C26" i="3" s="1"/>
  <c r="A26" i="3"/>
  <c r="Q25" i="3"/>
  <c r="P25" i="3"/>
  <c r="O25" i="3"/>
  <c r="N25" i="3"/>
  <c r="M25" i="3"/>
  <c r="L25" i="3"/>
  <c r="K25" i="3"/>
  <c r="J25" i="3"/>
  <c r="I25" i="3"/>
  <c r="H25" i="3"/>
  <c r="G25" i="3"/>
  <c r="F25" i="3"/>
  <c r="B25" i="3"/>
  <c r="E25" i="3" s="1"/>
  <c r="A25" i="3"/>
  <c r="Q24" i="3"/>
  <c r="P24" i="3"/>
  <c r="N24" i="3"/>
  <c r="M24" i="3"/>
  <c r="O24" i="3" s="1"/>
  <c r="L24" i="3"/>
  <c r="K24" i="3"/>
  <c r="J24" i="3"/>
  <c r="I24" i="3"/>
  <c r="H24" i="3"/>
  <c r="G24" i="3"/>
  <c r="F24" i="3"/>
  <c r="D24" i="3"/>
  <c r="B24" i="3"/>
  <c r="A24" i="3"/>
  <c r="Q23" i="3"/>
  <c r="P23" i="3"/>
  <c r="N23" i="3"/>
  <c r="M23" i="3"/>
  <c r="O23" i="3" s="1"/>
  <c r="L23" i="3"/>
  <c r="K23" i="3"/>
  <c r="J23" i="3"/>
  <c r="I23" i="3"/>
  <c r="H23" i="3"/>
  <c r="G23" i="3"/>
  <c r="F23" i="3"/>
  <c r="E23" i="3"/>
  <c r="D23" i="3"/>
  <c r="B23" i="3"/>
  <c r="C23" i="3" s="1"/>
  <c r="A23" i="3"/>
  <c r="Q22" i="3"/>
  <c r="P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Q21" i="3"/>
  <c r="P21" i="3"/>
  <c r="N21" i="3"/>
  <c r="M21" i="3"/>
  <c r="O21" i="3" s="1"/>
  <c r="L21" i="3"/>
  <c r="K21" i="3"/>
  <c r="J21" i="3"/>
  <c r="I21" i="3"/>
  <c r="H21" i="3"/>
  <c r="G21" i="3"/>
  <c r="F21" i="3"/>
  <c r="E21" i="3"/>
  <c r="D21" i="3"/>
  <c r="B21" i="3"/>
  <c r="C21" i="3" s="1"/>
  <c r="A21" i="3"/>
  <c r="Q20" i="3"/>
  <c r="P20" i="3"/>
  <c r="N20" i="3"/>
  <c r="M20" i="3"/>
  <c r="L20" i="3"/>
  <c r="O20" i="3" s="1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N19" i="3"/>
  <c r="M19" i="3"/>
  <c r="O19" i="3" s="1"/>
  <c r="L19" i="3"/>
  <c r="K19" i="3"/>
  <c r="J19" i="3"/>
  <c r="I19" i="3"/>
  <c r="H19" i="3"/>
  <c r="G19" i="3"/>
  <c r="F19" i="3"/>
  <c r="D19" i="3"/>
  <c r="C19" i="3"/>
  <c r="B19" i="3"/>
  <c r="E19" i="3" s="1"/>
  <c r="A19" i="3"/>
  <c r="Q18" i="3"/>
  <c r="P18" i="3"/>
  <c r="O18" i="3"/>
  <c r="N18" i="3"/>
  <c r="M18" i="3"/>
  <c r="L18" i="3"/>
  <c r="K18" i="3"/>
  <c r="J18" i="3"/>
  <c r="I18" i="3"/>
  <c r="H18" i="3"/>
  <c r="G18" i="3"/>
  <c r="F18" i="3"/>
  <c r="D18" i="3"/>
  <c r="C18" i="3"/>
  <c r="B18" i="3"/>
  <c r="E18" i="3" s="1"/>
  <c r="A18" i="3"/>
  <c r="Q17" i="3"/>
  <c r="P17" i="3"/>
  <c r="N17" i="3"/>
  <c r="M17" i="3"/>
  <c r="O17" i="3" s="1"/>
  <c r="L17" i="3"/>
  <c r="K17" i="3"/>
  <c r="J17" i="3"/>
  <c r="I17" i="3"/>
  <c r="H17" i="3"/>
  <c r="G17" i="3"/>
  <c r="F17" i="3"/>
  <c r="C17" i="3"/>
  <c r="B17" i="3"/>
  <c r="E17" i="3" s="1"/>
  <c r="A17" i="3"/>
  <c r="Q16" i="3"/>
  <c r="P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Q15" i="3"/>
  <c r="P15" i="3"/>
  <c r="N15" i="3"/>
  <c r="M15" i="3"/>
  <c r="L15" i="3"/>
  <c r="K15" i="3"/>
  <c r="J15" i="3"/>
  <c r="I15" i="3"/>
  <c r="H15" i="3"/>
  <c r="N11" i="4" s="1"/>
  <c r="G15" i="3"/>
  <c r="F15" i="3"/>
  <c r="B15" i="3"/>
  <c r="E15" i="3" s="1"/>
  <c r="A15" i="3"/>
  <c r="Q14" i="3"/>
  <c r="P14" i="3"/>
  <c r="N14" i="3"/>
  <c r="M14" i="3"/>
  <c r="L14" i="3"/>
  <c r="K14" i="3"/>
  <c r="J14" i="3"/>
  <c r="I14" i="3"/>
  <c r="H14" i="3"/>
  <c r="G14" i="3"/>
  <c r="F14" i="3"/>
  <c r="B14" i="3"/>
  <c r="E14" i="3" s="1"/>
  <c r="A14" i="3"/>
  <c r="Q13" i="3"/>
  <c r="P13" i="3"/>
  <c r="N13" i="3"/>
  <c r="O13" i="3" s="1"/>
  <c r="M13" i="3"/>
  <c r="L13" i="3"/>
  <c r="K13" i="3"/>
  <c r="J13" i="3"/>
  <c r="I13" i="3"/>
  <c r="H13" i="3"/>
  <c r="G13" i="3"/>
  <c r="F13" i="3"/>
  <c r="B13" i="3"/>
  <c r="D13" i="3" s="1"/>
  <c r="A13" i="3"/>
  <c r="Q12" i="3"/>
  <c r="P12" i="3"/>
  <c r="N12" i="3"/>
  <c r="M12" i="3"/>
  <c r="O12" i="3" s="1"/>
  <c r="L12" i="3"/>
  <c r="K12" i="3"/>
  <c r="J12" i="3"/>
  <c r="I12" i="3"/>
  <c r="H12" i="3"/>
  <c r="G12" i="3"/>
  <c r="F12" i="3"/>
  <c r="B12" i="3"/>
  <c r="A12" i="3"/>
  <c r="Q11" i="3"/>
  <c r="P11" i="3"/>
  <c r="N11" i="3"/>
  <c r="M11" i="3"/>
  <c r="O11" i="3" s="1"/>
  <c r="L11" i="3"/>
  <c r="K11" i="3"/>
  <c r="J11" i="3"/>
  <c r="I11" i="3"/>
  <c r="H11" i="3"/>
  <c r="O11" i="4" s="1"/>
  <c r="G11" i="3"/>
  <c r="F11" i="3"/>
  <c r="E11" i="3"/>
  <c r="B11" i="3"/>
  <c r="D11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B10" i="3"/>
  <c r="A10" i="3"/>
  <c r="Q9" i="3"/>
  <c r="P9" i="3"/>
  <c r="N9" i="3"/>
  <c r="M9" i="3"/>
  <c r="O9" i="3" s="1"/>
  <c r="L9" i="3"/>
  <c r="K9" i="3"/>
  <c r="J9" i="3"/>
  <c r="I9" i="3"/>
  <c r="H9" i="3"/>
  <c r="G9" i="3"/>
  <c r="F9" i="3"/>
  <c r="B9" i="3"/>
  <c r="E9" i="3" s="1"/>
  <c r="A9" i="3"/>
  <c r="Q8" i="3"/>
  <c r="P8" i="3"/>
  <c r="N8" i="3"/>
  <c r="M8" i="3"/>
  <c r="L8" i="3"/>
  <c r="K8" i="3"/>
  <c r="J8" i="3"/>
  <c r="I8" i="3"/>
  <c r="H8" i="3"/>
  <c r="G8" i="3"/>
  <c r="F8" i="3"/>
  <c r="D8" i="3"/>
  <c r="C8" i="3"/>
  <c r="B8" i="3"/>
  <c r="E8" i="3" s="1"/>
  <c r="A8" i="3"/>
  <c r="Q7" i="3"/>
  <c r="P7" i="3"/>
  <c r="N7" i="3"/>
  <c r="M7" i="3"/>
  <c r="O7" i="3" s="1"/>
  <c r="L7" i="3"/>
  <c r="K7" i="3"/>
  <c r="J7" i="3"/>
  <c r="I7" i="3"/>
  <c r="H7" i="3"/>
  <c r="G7" i="3"/>
  <c r="F7" i="3"/>
  <c r="B7" i="3"/>
  <c r="A7" i="3"/>
  <c r="Q6" i="3"/>
  <c r="P6" i="3"/>
  <c r="N6" i="3"/>
  <c r="M6" i="3"/>
  <c r="O6" i="3" s="1"/>
  <c r="L6" i="3"/>
  <c r="K6" i="3"/>
  <c r="J6" i="3"/>
  <c r="I6" i="3"/>
  <c r="H6" i="3"/>
  <c r="G6" i="3"/>
  <c r="F6" i="3"/>
  <c r="E6" i="3"/>
  <c r="B6" i="3"/>
  <c r="D6" i="3" s="1"/>
  <c r="A6" i="3"/>
  <c r="Q5" i="3"/>
  <c r="P5" i="3"/>
  <c r="N5" i="3"/>
  <c r="M5" i="3"/>
  <c r="L5" i="3"/>
  <c r="L22" i="4" s="1"/>
  <c r="K5" i="3"/>
  <c r="J5" i="3"/>
  <c r="I5" i="3"/>
  <c r="H5" i="3"/>
  <c r="G5" i="3"/>
  <c r="F5" i="3"/>
  <c r="B5" i="3"/>
  <c r="C5" i="3" s="1"/>
  <c r="A5" i="3"/>
  <c r="Q4" i="3"/>
  <c r="P4" i="3"/>
  <c r="N4" i="3"/>
  <c r="M4" i="3"/>
  <c r="O4" i="3" s="1"/>
  <c r="L4" i="3"/>
  <c r="K4" i="3"/>
  <c r="L7" i="5" s="1"/>
  <c r="J4" i="3"/>
  <c r="I4" i="3"/>
  <c r="D36" i="4" s="1"/>
  <c r="H4" i="3"/>
  <c r="G4" i="3"/>
  <c r="F4" i="3"/>
  <c r="B4" i="3"/>
  <c r="A4" i="3"/>
  <c r="Q3" i="3"/>
  <c r="P3" i="3"/>
  <c r="N3" i="3"/>
  <c r="O3" i="3" s="1"/>
  <c r="M3" i="3"/>
  <c r="L3" i="3"/>
  <c r="K3" i="3"/>
  <c r="J3" i="3"/>
  <c r="I3" i="3"/>
  <c r="H3" i="3"/>
  <c r="G3" i="3"/>
  <c r="F3" i="3"/>
  <c r="E3" i="3"/>
  <c r="D3" i="3"/>
  <c r="B3" i="3"/>
  <c r="C3" i="3" s="1"/>
  <c r="A3" i="3"/>
  <c r="C14" i="3" l="1"/>
  <c r="E84" i="3"/>
  <c r="D84" i="3"/>
  <c r="C128" i="3"/>
  <c r="C213" i="3"/>
  <c r="E7" i="3"/>
  <c r="C7" i="3"/>
  <c r="D7" i="3"/>
  <c r="C84" i="3"/>
  <c r="D128" i="3"/>
  <c r="D213" i="3"/>
  <c r="O5" i="3"/>
  <c r="O8" i="3"/>
  <c r="E170" i="3"/>
  <c r="C170" i="3"/>
  <c r="C174" i="3"/>
  <c r="E174" i="3"/>
  <c r="D174" i="3"/>
  <c r="O390" i="3"/>
  <c r="O96" i="3"/>
  <c r="O210" i="3"/>
  <c r="C257" i="3"/>
  <c r="O251" i="3"/>
  <c r="D65" i="3"/>
  <c r="C65" i="3"/>
  <c r="E330" i="3"/>
  <c r="O385" i="3"/>
  <c r="O35" i="3"/>
  <c r="E65" i="3"/>
  <c r="E119" i="3"/>
  <c r="D119" i="3"/>
  <c r="C154" i="3"/>
  <c r="E154" i="3"/>
  <c r="D154" i="3"/>
  <c r="E157" i="3"/>
  <c r="D157" i="3"/>
  <c r="O159" i="3"/>
  <c r="D7" i="5"/>
  <c r="D14" i="7"/>
  <c r="D9" i="5"/>
  <c r="D6" i="5"/>
  <c r="C9" i="5"/>
  <c r="C6" i="5"/>
  <c r="D13" i="7"/>
  <c r="D16" i="7"/>
  <c r="B7" i="6"/>
  <c r="C16" i="7"/>
  <c r="B6" i="6"/>
  <c r="D10" i="4"/>
  <c r="D15" i="7"/>
  <c r="C15" i="7"/>
  <c r="B4" i="6"/>
  <c r="E6" i="5"/>
  <c r="C12" i="4"/>
  <c r="C14" i="7"/>
  <c r="C13" i="7"/>
  <c r="D11" i="4"/>
  <c r="C11" i="4"/>
  <c r="E5" i="5"/>
  <c r="D5" i="5"/>
  <c r="C5" i="5"/>
  <c r="D12" i="7"/>
  <c r="C10" i="4"/>
  <c r="D14" i="4"/>
  <c r="C14" i="4"/>
  <c r="C12" i="7"/>
  <c r="C7" i="5"/>
  <c r="E7" i="5"/>
  <c r="B8" i="6"/>
  <c r="D13" i="4"/>
  <c r="B5" i="6"/>
  <c r="C13" i="4"/>
  <c r="E9" i="5"/>
  <c r="C119" i="3"/>
  <c r="C157" i="3"/>
  <c r="C253" i="3"/>
  <c r="E379" i="3"/>
  <c r="D379" i="3"/>
  <c r="C25" i="3"/>
  <c r="C226" i="3"/>
  <c r="C230" i="3"/>
  <c r="O243" i="3"/>
  <c r="D253" i="3"/>
  <c r="E256" i="3"/>
  <c r="D256" i="3"/>
  <c r="E325" i="3"/>
  <c r="D325" i="3"/>
  <c r="C325" i="3"/>
  <c r="C379" i="3"/>
  <c r="M7" i="7"/>
  <c r="H14" i="7"/>
  <c r="G14" i="7"/>
  <c r="H13" i="7"/>
  <c r="G13" i="7"/>
  <c r="B14" i="6"/>
  <c r="O12" i="4"/>
  <c r="M10" i="4"/>
  <c r="M12" i="4"/>
  <c r="L12" i="4"/>
  <c r="H12" i="7"/>
  <c r="O10" i="4"/>
  <c r="G12" i="7"/>
  <c r="K5" i="4"/>
  <c r="B13" i="6"/>
  <c r="B12" i="6"/>
  <c r="N12" i="4"/>
  <c r="E12" i="3"/>
  <c r="D12" i="3"/>
  <c r="C12" i="3"/>
  <c r="D25" i="3"/>
  <c r="C60" i="3"/>
  <c r="D226" i="3"/>
  <c r="E230" i="3"/>
  <c r="C234" i="3"/>
  <c r="E234" i="3"/>
  <c r="D234" i="3"/>
  <c r="O254" i="3"/>
  <c r="C256" i="3"/>
  <c r="E315" i="3"/>
  <c r="D315" i="3"/>
  <c r="C315" i="3"/>
  <c r="D40" i="4"/>
  <c r="E29" i="3"/>
  <c r="C29" i="3"/>
  <c r="D29" i="3"/>
  <c r="O58" i="3"/>
  <c r="E60" i="3"/>
  <c r="C90" i="3"/>
  <c r="E137" i="3"/>
  <c r="C137" i="3"/>
  <c r="O182" i="3"/>
  <c r="O309" i="3"/>
  <c r="K7" i="5"/>
  <c r="N7" i="5" s="1"/>
  <c r="E298" i="3"/>
  <c r="D298" i="3"/>
  <c r="C298" i="3"/>
  <c r="O121" i="3"/>
  <c r="E162" i="3"/>
  <c r="C330" i="3"/>
  <c r="E388" i="3"/>
  <c r="D388" i="3"/>
  <c r="D261" i="3"/>
  <c r="E261" i="3"/>
  <c r="E257" i="3"/>
  <c r="D93" i="3"/>
  <c r="E93" i="3"/>
  <c r="C93" i="3"/>
  <c r="D39" i="4"/>
  <c r="C39" i="4"/>
  <c r="C38" i="4"/>
  <c r="D37" i="4"/>
  <c r="C36" i="4"/>
  <c r="D246" i="3"/>
  <c r="C246" i="3"/>
  <c r="E338" i="3"/>
  <c r="D338" i="3"/>
  <c r="D94" i="3"/>
  <c r="C370" i="3"/>
  <c r="D374" i="3"/>
  <c r="D15" i="3"/>
  <c r="D46" i="3"/>
  <c r="C50" i="3"/>
  <c r="D55" i="3"/>
  <c r="E85" i="3"/>
  <c r="C89" i="3"/>
  <c r="D133" i="3"/>
  <c r="E218" i="3"/>
  <c r="D225" i="3"/>
  <c r="D295" i="3"/>
  <c r="D299" i="3"/>
  <c r="O356" i="3"/>
  <c r="D359" i="3"/>
  <c r="E370" i="3"/>
  <c r="L10" i="4"/>
  <c r="C8" i="5"/>
  <c r="D132" i="3"/>
  <c r="E132" i="3"/>
  <c r="E290" i="3"/>
  <c r="D290" i="3"/>
  <c r="D294" i="3"/>
  <c r="D14" i="3"/>
  <c r="O16" i="3"/>
  <c r="D45" i="3"/>
  <c r="E45" i="3"/>
  <c r="D10" i="3"/>
  <c r="C10" i="3"/>
  <c r="C20" i="4" s="1"/>
  <c r="O43" i="3"/>
  <c r="C102" i="3"/>
  <c r="D102" i="3"/>
  <c r="D335" i="3"/>
  <c r="C335" i="3"/>
  <c r="C162" i="3"/>
  <c r="O168" i="3"/>
  <c r="E209" i="3"/>
  <c r="D209" i="3"/>
  <c r="C209" i="3"/>
  <c r="O287" i="3"/>
  <c r="E335" i="3"/>
  <c r="O340" i="3"/>
  <c r="E123" i="3"/>
  <c r="D123" i="3"/>
  <c r="C123" i="3"/>
  <c r="O291" i="3"/>
  <c r="E384" i="3"/>
  <c r="C384" i="3"/>
  <c r="D170" i="3"/>
  <c r="C388" i="3"/>
  <c r="B36" i="6"/>
  <c r="B34" i="6"/>
  <c r="M21" i="4"/>
  <c r="L21" i="4"/>
  <c r="E98" i="3"/>
  <c r="D98" i="3"/>
  <c r="C98" i="3"/>
  <c r="C261" i="3"/>
  <c r="E94" i="3"/>
  <c r="M7" i="5"/>
  <c r="C15" i="3"/>
  <c r="C55" i="3"/>
  <c r="C85" i="3"/>
  <c r="D110" i="3"/>
  <c r="E110" i="3"/>
  <c r="D218" i="3"/>
  <c r="D221" i="3"/>
  <c r="E221" i="3"/>
  <c r="C221" i="3"/>
  <c r="C225" i="3"/>
  <c r="C295" i="3"/>
  <c r="C299" i="3"/>
  <c r="C359" i="3"/>
  <c r="E374" i="3"/>
  <c r="E46" i="3"/>
  <c r="D50" i="3"/>
  <c r="D81" i="3"/>
  <c r="E81" i="3"/>
  <c r="C81" i="3"/>
  <c r="D89" i="3"/>
  <c r="O126" i="3"/>
  <c r="E133" i="3"/>
  <c r="N10" i="4"/>
  <c r="D8" i="5"/>
  <c r="C354" i="3"/>
  <c r="E354" i="3"/>
  <c r="D354" i="3"/>
  <c r="E294" i="3"/>
  <c r="E10" i="3"/>
  <c r="O22" i="3"/>
  <c r="O91" i="3"/>
  <c r="E129" i="3"/>
  <c r="D129" i="3"/>
  <c r="O131" i="3"/>
  <c r="O146" i="3"/>
  <c r="O82" i="3"/>
  <c r="E163" i="3"/>
  <c r="D163" i="3"/>
  <c r="C163" i="3"/>
  <c r="D171" i="3"/>
  <c r="C171" i="3"/>
  <c r="E217" i="3"/>
  <c r="D217" i="3"/>
  <c r="D302" i="3"/>
  <c r="C302" i="3"/>
  <c r="E302" i="3"/>
  <c r="L11" i="4"/>
  <c r="P11" i="4" s="1"/>
  <c r="E8" i="5"/>
  <c r="R7" i="7"/>
  <c r="D41" i="3"/>
  <c r="C41" i="3"/>
  <c r="D285" i="3"/>
  <c r="C285" i="3"/>
  <c r="C334" i="3"/>
  <c r="E334" i="3"/>
  <c r="D334" i="3"/>
  <c r="E398" i="3"/>
  <c r="D398" i="3"/>
  <c r="C9" i="3"/>
  <c r="E88" i="3"/>
  <c r="D88" i="3"/>
  <c r="E165" i="3"/>
  <c r="D165" i="3"/>
  <c r="C165" i="3"/>
  <c r="O167" i="3"/>
  <c r="E37" i="3"/>
  <c r="C37" i="3"/>
  <c r="E41" i="3"/>
  <c r="D161" i="3"/>
  <c r="E161" i="3"/>
  <c r="E285" i="3"/>
  <c r="C13" i="3"/>
  <c r="B28" i="6" s="1"/>
  <c r="C32" i="3"/>
  <c r="C23" i="6" s="1"/>
  <c r="D37" i="3"/>
  <c r="C71" i="3"/>
  <c r="E71" i="3"/>
  <c r="E293" i="3"/>
  <c r="C293" i="3"/>
  <c r="D361" i="3"/>
  <c r="E361" i="3"/>
  <c r="C361" i="3"/>
  <c r="C398" i="3"/>
  <c r="D9" i="3"/>
  <c r="E13" i="3"/>
  <c r="D32" i="3"/>
  <c r="D71" i="3"/>
  <c r="C118" i="3"/>
  <c r="D293" i="3"/>
  <c r="O327" i="3"/>
  <c r="O351" i="3"/>
  <c r="D5" i="3"/>
  <c r="G16" i="5" s="1"/>
  <c r="O15" i="3"/>
  <c r="C44" i="3"/>
  <c r="E44" i="3"/>
  <c r="D44" i="3"/>
  <c r="C79" i="3"/>
  <c r="D105" i="3"/>
  <c r="D118" i="3"/>
  <c r="C122" i="3"/>
  <c r="D122" i="3"/>
  <c r="E156" i="3"/>
  <c r="C156" i="3"/>
  <c r="E199" i="3"/>
  <c r="C199" i="3"/>
  <c r="D212" i="3"/>
  <c r="E248" i="3"/>
  <c r="D248" i="3"/>
  <c r="C248" i="3"/>
  <c r="O282" i="3"/>
  <c r="C349" i="3"/>
  <c r="O359" i="3"/>
  <c r="E5" i="3"/>
  <c r="O34" i="3"/>
  <c r="D40" i="3"/>
  <c r="C40" i="3"/>
  <c r="D79" i="3"/>
  <c r="E105" i="3"/>
  <c r="E109" i="3"/>
  <c r="D109" i="3"/>
  <c r="C109" i="3"/>
  <c r="E122" i="3"/>
  <c r="D156" i="3"/>
  <c r="C195" i="3"/>
  <c r="D199" i="3"/>
  <c r="C268" i="3"/>
  <c r="E317" i="3"/>
  <c r="D317" i="3"/>
  <c r="D349" i="3"/>
  <c r="C401" i="3"/>
  <c r="C88" i="3"/>
  <c r="C212" i="3"/>
  <c r="O270" i="3"/>
  <c r="D268" i="3"/>
  <c r="E284" i="3"/>
  <c r="C284" i="3"/>
  <c r="E324" i="3"/>
  <c r="D324" i="3"/>
  <c r="C324" i="3"/>
  <c r="E401" i="3"/>
  <c r="E117" i="3"/>
  <c r="C117" i="3"/>
  <c r="E340" i="3"/>
  <c r="D340" i="3"/>
  <c r="D385" i="3"/>
  <c r="C385" i="3"/>
  <c r="E4" i="3"/>
  <c r="C4" i="3"/>
  <c r="D25" i="4" s="1"/>
  <c r="D74" i="3"/>
  <c r="O76" i="3"/>
  <c r="C100" i="3"/>
  <c r="E104" i="3"/>
  <c r="C104" i="3"/>
  <c r="D117" i="3"/>
  <c r="C181" i="3"/>
  <c r="O192" i="3"/>
  <c r="E279" i="3"/>
  <c r="D279" i="3"/>
  <c r="C279" i="3"/>
  <c r="C309" i="3"/>
  <c r="C340" i="3"/>
  <c r="E385" i="3"/>
  <c r="E393" i="3"/>
  <c r="D393" i="3"/>
  <c r="D4" i="3"/>
  <c r="D17" i="5" s="1"/>
  <c r="D57" i="3"/>
  <c r="E74" i="3"/>
  <c r="D100" i="3"/>
  <c r="C243" i="3"/>
  <c r="E243" i="3"/>
  <c r="D243" i="3"/>
  <c r="O306" i="3"/>
  <c r="D309" i="3"/>
  <c r="C320" i="3"/>
  <c r="E348" i="3"/>
  <c r="D348" i="3"/>
  <c r="D371" i="3"/>
  <c r="C371" i="3"/>
  <c r="C376" i="3"/>
  <c r="O378" i="3"/>
  <c r="C393" i="3"/>
  <c r="C300" i="3"/>
  <c r="E304" i="3"/>
  <c r="D304" i="3"/>
  <c r="D320" i="3"/>
  <c r="C348" i="3"/>
  <c r="E371" i="3"/>
  <c r="D376" i="3"/>
  <c r="C380" i="3"/>
  <c r="D396" i="3"/>
  <c r="C396" i="3"/>
  <c r="O398" i="3"/>
  <c r="C57" i="3"/>
  <c r="D66" i="3"/>
  <c r="E70" i="3"/>
  <c r="D70" i="3"/>
  <c r="C70" i="3"/>
  <c r="D104" i="3"/>
  <c r="C138" i="3"/>
  <c r="E181" i="3"/>
  <c r="E35" i="3"/>
  <c r="C35" i="3"/>
  <c r="E66" i="3"/>
  <c r="E78" i="3"/>
  <c r="C78" i="3"/>
  <c r="D78" i="3"/>
  <c r="D91" i="3"/>
  <c r="C108" i="3"/>
  <c r="C134" i="3"/>
  <c r="E134" i="3"/>
  <c r="D138" i="3"/>
  <c r="C176" i="3"/>
  <c r="D185" i="3"/>
  <c r="C185" i="3"/>
  <c r="E190" i="3"/>
  <c r="D190" i="3"/>
  <c r="C194" i="3"/>
  <c r="E194" i="3"/>
  <c r="D194" i="3"/>
  <c r="E198" i="3"/>
  <c r="D198" i="3"/>
  <c r="D202" i="3"/>
  <c r="C202" i="3"/>
  <c r="E219" i="3"/>
  <c r="D219" i="3"/>
  <c r="C219" i="3"/>
  <c r="C231" i="3"/>
  <c r="F5" i="4"/>
  <c r="H7" i="7"/>
  <c r="D30" i="3"/>
  <c r="C30" i="3"/>
  <c r="O32" i="3"/>
  <c r="D35" i="3"/>
  <c r="F18" i="5" s="1"/>
  <c r="C61" i="3"/>
  <c r="E91" i="3"/>
  <c r="O101" i="3"/>
  <c r="D108" i="3"/>
  <c r="O114" i="3"/>
  <c r="D134" i="3"/>
  <c r="C146" i="3"/>
  <c r="E146" i="3"/>
  <c r="O148" i="3"/>
  <c r="O153" i="3"/>
  <c r="E159" i="3"/>
  <c r="D159" i="3"/>
  <c r="O178" i="3"/>
  <c r="E185" i="3"/>
  <c r="C190" i="3"/>
  <c r="C198" i="3"/>
  <c r="E202" i="3"/>
  <c r="C254" i="3"/>
  <c r="E254" i="3"/>
  <c r="D254" i="3"/>
  <c r="C304" i="3"/>
  <c r="E312" i="3"/>
  <c r="D312" i="3"/>
  <c r="O382" i="3"/>
  <c r="E396" i="3"/>
  <c r="O371" i="3"/>
  <c r="E24" i="3"/>
  <c r="C24" i="3"/>
  <c r="O37" i="3"/>
  <c r="O52" i="3"/>
  <c r="O177" i="3"/>
  <c r="E179" i="3"/>
  <c r="D179" i="3"/>
  <c r="C179" i="3"/>
  <c r="O222" i="3"/>
  <c r="E329" i="3"/>
  <c r="D329" i="3"/>
  <c r="C356" i="3"/>
  <c r="C369" i="3"/>
  <c r="C400" i="3"/>
  <c r="B35" i="6"/>
  <c r="O231" i="3"/>
  <c r="B7" i="7"/>
  <c r="B5" i="4"/>
  <c r="C39" i="3"/>
  <c r="C73" i="3"/>
  <c r="C82" i="3"/>
  <c r="O84" i="3"/>
  <c r="E92" i="3"/>
  <c r="D92" i="3"/>
  <c r="C92" i="3"/>
  <c r="C145" i="3"/>
  <c r="C155" i="3"/>
  <c r="O158" i="3"/>
  <c r="D160" i="3"/>
  <c r="C160" i="3"/>
  <c r="C206" i="3"/>
  <c r="C220" i="3"/>
  <c r="C238" i="3"/>
  <c r="C269" i="3"/>
  <c r="D310" i="3"/>
  <c r="C310" i="3"/>
  <c r="C323" i="3"/>
  <c r="O343" i="3"/>
  <c r="D351" i="3"/>
  <c r="O358" i="3"/>
  <c r="D395" i="3"/>
  <c r="L20" i="4"/>
  <c r="D346" i="3"/>
  <c r="C346" i="3"/>
  <c r="E346" i="3"/>
  <c r="C351" i="3"/>
  <c r="L14" i="7"/>
  <c r="K14" i="7"/>
  <c r="L6" i="5"/>
  <c r="K6" i="5"/>
  <c r="N6" i="5" s="1"/>
  <c r="M20" i="4"/>
  <c r="L13" i="7"/>
  <c r="L5" i="5"/>
  <c r="K13" i="7"/>
  <c r="K5" i="5"/>
  <c r="M22" i="4"/>
  <c r="N22" i="4" s="1"/>
  <c r="M5" i="5"/>
  <c r="L12" i="7"/>
  <c r="K12" i="7"/>
  <c r="D73" i="3"/>
  <c r="D82" i="3"/>
  <c r="E126" i="3"/>
  <c r="D126" i="3"/>
  <c r="C126" i="3"/>
  <c r="D135" i="3"/>
  <c r="C135" i="3"/>
  <c r="D145" i="3"/>
  <c r="D155" i="3"/>
  <c r="D206" i="3"/>
  <c r="E220" i="3"/>
  <c r="D238" i="3"/>
  <c r="E251" i="3"/>
  <c r="D251" i="3"/>
  <c r="D269" i="3"/>
  <c r="D323" i="3"/>
  <c r="D360" i="3"/>
  <c r="C360" i="3"/>
  <c r="E395" i="3"/>
  <c r="D38" i="4"/>
  <c r="C37" i="4"/>
  <c r="E59" i="3"/>
  <c r="D59" i="3"/>
  <c r="C59" i="3"/>
  <c r="O295" i="3"/>
  <c r="D39" i="3"/>
  <c r="C6" i="3"/>
  <c r="C63" i="3"/>
  <c r="C68" i="3"/>
  <c r="O98" i="3"/>
  <c r="C101" i="3"/>
  <c r="D121" i="3"/>
  <c r="C121" i="3"/>
  <c r="E121" i="3"/>
  <c r="E135" i="3"/>
  <c r="O162" i="3"/>
  <c r="D210" i="3"/>
  <c r="C210" i="3"/>
  <c r="E215" i="3"/>
  <c r="D215" i="3"/>
  <c r="C228" i="3"/>
  <c r="C242" i="3"/>
  <c r="C251" i="3"/>
  <c r="C278" i="3"/>
  <c r="C318" i="3"/>
  <c r="C328" i="3"/>
  <c r="E360" i="3"/>
  <c r="O401" i="3"/>
  <c r="O245" i="3"/>
  <c r="O276" i="3"/>
  <c r="O326" i="3"/>
  <c r="O335" i="3"/>
  <c r="C40" i="4"/>
  <c r="C106" i="3"/>
  <c r="O5" i="4"/>
  <c r="C11" i="3"/>
  <c r="O14" i="3"/>
  <c r="C43" i="3"/>
  <c r="E48" i="3"/>
  <c r="D48" i="3"/>
  <c r="C48" i="3"/>
  <c r="D68" i="3"/>
  <c r="O79" i="3"/>
  <c r="D96" i="3"/>
  <c r="E101" i="3"/>
  <c r="O113" i="3"/>
  <c r="O166" i="3"/>
  <c r="C192" i="3"/>
  <c r="D196" i="3"/>
  <c r="C196" i="3"/>
  <c r="O198" i="3"/>
  <c r="E210" i="3"/>
  <c r="C215" i="3"/>
  <c r="D228" i="3"/>
  <c r="C259" i="3"/>
  <c r="E273" i="3"/>
  <c r="D273" i="3"/>
  <c r="D278" i="3"/>
  <c r="D328" i="3"/>
  <c r="M6" i="5"/>
  <c r="O376" i="3"/>
  <c r="C54" i="3"/>
  <c r="E54" i="3"/>
  <c r="O62" i="3"/>
  <c r="E148" i="3"/>
  <c r="D148" i="3"/>
  <c r="O151" i="3"/>
  <c r="O156" i="3"/>
  <c r="E204" i="3"/>
  <c r="D204" i="3"/>
  <c r="O212" i="3"/>
  <c r="D235" i="3"/>
  <c r="C235" i="3"/>
  <c r="D271" i="3"/>
  <c r="C271" i="3"/>
  <c r="C363" i="3"/>
  <c r="E373" i="3"/>
  <c r="D373" i="3"/>
  <c r="E378" i="3"/>
  <c r="C378" i="3"/>
  <c r="O395" i="3"/>
  <c r="D402" i="3"/>
  <c r="C402" i="3"/>
  <c r="E240" i="3"/>
  <c r="D240" i="3"/>
  <c r="D363" i="3"/>
  <c r="D17" i="3"/>
  <c r="D42" i="3"/>
  <c r="O51" i="3"/>
  <c r="D76" i="3"/>
  <c r="E115" i="3"/>
  <c r="D142" i="3"/>
  <c r="O145" i="3"/>
  <c r="O176" i="3"/>
  <c r="D184" i="3"/>
  <c r="D224" i="3"/>
  <c r="C240" i="3"/>
  <c r="C245" i="3"/>
  <c r="C250" i="3"/>
  <c r="C255" i="3"/>
  <c r="O258" i="3"/>
  <c r="O268" i="3"/>
  <c r="D276" i="3"/>
  <c r="E281" i="3"/>
  <c r="D286" i="3"/>
  <c r="D296" i="3"/>
  <c r="C296" i="3"/>
  <c r="C306" i="3"/>
  <c r="C311" i="3"/>
  <c r="D332" i="3"/>
  <c r="C337" i="3"/>
  <c r="D342" i="3"/>
  <c r="D353" i="3"/>
  <c r="C368" i="3"/>
  <c r="C392" i="3"/>
  <c r="O56" i="3"/>
  <c r="O78" i="3"/>
  <c r="C153" i="3"/>
  <c r="E173" i="3"/>
  <c r="D173" i="3"/>
  <c r="O201" i="3"/>
  <c r="O206" i="3"/>
  <c r="D214" i="3"/>
  <c r="E229" i="3"/>
  <c r="D229" i="3"/>
  <c r="D245" i="3"/>
  <c r="D250" i="3"/>
  <c r="D255" i="3"/>
  <c r="D260" i="3"/>
  <c r="C260" i="3"/>
  <c r="O278" i="3"/>
  <c r="E296" i="3"/>
  <c r="O298" i="3"/>
  <c r="C301" i="3"/>
  <c r="D306" i="3"/>
  <c r="D311" i="3"/>
  <c r="D321" i="3"/>
  <c r="E321" i="3"/>
  <c r="C321" i="3"/>
  <c r="D337" i="3"/>
  <c r="D368" i="3"/>
  <c r="O370" i="3"/>
  <c r="D392" i="3"/>
  <c r="E265" i="3"/>
  <c r="D265" i="3"/>
  <c r="O138" i="3"/>
  <c r="C141" i="3"/>
  <c r="O238" i="3"/>
  <c r="C241" i="3"/>
  <c r="O338" i="3"/>
  <c r="C341" i="3"/>
  <c r="O118" i="3"/>
  <c r="O218" i="3"/>
  <c r="O318" i="3"/>
  <c r="D365" i="3"/>
  <c r="D390" i="3"/>
  <c r="B27" i="6" l="1"/>
  <c r="D20" i="4"/>
  <c r="E20" i="4" s="1"/>
  <c r="B23" i="6"/>
  <c r="C26" i="4"/>
  <c r="D16" i="5"/>
  <c r="D26" i="4"/>
  <c r="E16" i="5"/>
  <c r="C21" i="4"/>
  <c r="C26" i="6"/>
  <c r="F15" i="5"/>
  <c r="B20" i="6"/>
  <c r="C24" i="4"/>
  <c r="O20" i="4"/>
  <c r="N20" i="4"/>
  <c r="D29" i="4"/>
  <c r="F14" i="4"/>
  <c r="E14" i="4"/>
  <c r="C16" i="5"/>
  <c r="H16" i="5" s="1"/>
  <c r="C20" i="6"/>
  <c r="C30" i="6"/>
  <c r="C25" i="4"/>
  <c r="B26" i="6"/>
  <c r="E12" i="4"/>
  <c r="F12" i="4"/>
  <c r="E38" i="4"/>
  <c r="F38" i="4"/>
  <c r="D27" i="4"/>
  <c r="C27" i="6"/>
  <c r="G17" i="5"/>
  <c r="D30" i="4"/>
  <c r="B30" i="6"/>
  <c r="G15" i="5"/>
  <c r="D23" i="4"/>
  <c r="F37" i="4"/>
  <c r="E37" i="4"/>
  <c r="E18" i="5"/>
  <c r="C30" i="4"/>
  <c r="B21" i="6"/>
  <c r="C28" i="6"/>
  <c r="E10" i="4"/>
  <c r="C15" i="4"/>
  <c r="F10" i="4"/>
  <c r="F6" i="5"/>
  <c r="F16" i="5"/>
  <c r="C27" i="4"/>
  <c r="C23" i="4"/>
  <c r="E17" i="5"/>
  <c r="F39" i="4"/>
  <c r="E39" i="4"/>
  <c r="F7" i="5"/>
  <c r="D24" i="4"/>
  <c r="C15" i="5"/>
  <c r="P10" i="4"/>
  <c r="C24" i="6"/>
  <c r="C21" i="6"/>
  <c r="B29" i="6"/>
  <c r="C10" i="5"/>
  <c r="F5" i="5"/>
  <c r="F10" i="5" s="1"/>
  <c r="D15" i="5"/>
  <c r="F40" i="4"/>
  <c r="E40" i="4"/>
  <c r="D15" i="4"/>
  <c r="F8" i="5"/>
  <c r="E15" i="5"/>
  <c r="B25" i="6"/>
  <c r="C19" i="6"/>
  <c r="D10" i="5"/>
  <c r="O22" i="4"/>
  <c r="C25" i="6"/>
  <c r="C18" i="5"/>
  <c r="F13" i="4"/>
  <c r="E13" i="4"/>
  <c r="F17" i="5"/>
  <c r="C28" i="4"/>
  <c r="C29" i="4"/>
  <c r="G18" i="5"/>
  <c r="B24" i="6"/>
  <c r="B19" i="6"/>
  <c r="C31" i="4"/>
  <c r="C17" i="5"/>
  <c r="H17" i="5" s="1"/>
  <c r="C22" i="4"/>
  <c r="D31" i="4"/>
  <c r="C29" i="6"/>
  <c r="P12" i="4"/>
  <c r="E10" i="5"/>
  <c r="D18" i="5"/>
  <c r="F36" i="4"/>
  <c r="E36" i="4"/>
  <c r="D21" i="4"/>
  <c r="D28" i="4"/>
  <c r="F9" i="5"/>
  <c r="N5" i="5"/>
  <c r="O21" i="4"/>
  <c r="N21" i="4"/>
  <c r="D22" i="4"/>
  <c r="B22" i="6"/>
  <c r="C22" i="6"/>
  <c r="F11" i="4"/>
  <c r="E11" i="4"/>
  <c r="E31" i="4" l="1"/>
  <c r="F31" i="4"/>
  <c r="F24" i="4"/>
  <c r="E24" i="4"/>
  <c r="F23" i="4"/>
  <c r="E23" i="4"/>
  <c r="H15" i="5"/>
  <c r="H18" i="5"/>
  <c r="E26" i="4"/>
  <c r="F26" i="4"/>
  <c r="F30" i="4"/>
  <c r="E30" i="4"/>
  <c r="F28" i="4"/>
  <c r="E28" i="4"/>
  <c r="E21" i="4"/>
  <c r="F21" i="4"/>
  <c r="F15" i="4"/>
  <c r="F29" i="4"/>
  <c r="E29" i="4"/>
  <c r="F27" i="4"/>
  <c r="E27" i="4"/>
  <c r="E22" i="4"/>
  <c r="F22" i="4"/>
  <c r="E15" i="4"/>
  <c r="F25" i="4"/>
  <c r="E25" i="4"/>
</calcChain>
</file>

<file path=xl/sharedStrings.xml><?xml version="1.0" encoding="utf-8"?>
<sst xmlns="http://schemas.openxmlformats.org/spreadsheetml/2006/main" count="3891" uniqueCount="866">
  <si>
    <t>📘  FINANCE &amp; BANKING — EXCEL PORTFOLIO PROJECT  |  Beginner Guide</t>
  </si>
  <si>
    <t>Welcome! This is a complete end-to-end project. Follow the steps below. Each sheet builds on the last — start with Raw Data, end with the Dashboard.</t>
  </si>
  <si>
    <t xml:space="preserve">  PROJECT OVERVIEW</t>
  </si>
  <si>
    <t>Dataset</t>
  </si>
  <si>
    <t>400 bank transactions — loans, deposits, credit cards across 5 branches (FY 2024)</t>
  </si>
  <si>
    <t>Domain</t>
  </si>
  <si>
    <t>Finance &amp; Banking — realistic data an analyst would see at any retail bank</t>
  </si>
  <si>
    <t>Difficulty</t>
  </si>
  <si>
    <t>Beginner-friendly formulas · Perfect as your first data analytics portfolio piece</t>
  </si>
  <si>
    <t>What You Build</t>
  </si>
  <si>
    <t>Raw Data → Cleaning → Analysis → Pivot Tables → 4 Charts → Executive Dashboard</t>
  </si>
  <si>
    <t xml:space="preserve">  STEP 1  |  1. Raw Data</t>
  </si>
  <si>
    <t>What to do</t>
  </si>
  <si>
    <t>Open this sheet and explore the 400 rows. Spot the 5 data quality issues listed at the bottom.</t>
  </si>
  <si>
    <t>Issues inside</t>
  </si>
  <si>
    <t>1) Branch casing  2) Status leading spaces  3-4) Missing Amount/Rate  5) No date parts</t>
  </si>
  <si>
    <t>Key skill</t>
  </si>
  <si>
    <t>Data auditing — every real-world dataset needs inspection before analysis</t>
  </si>
  <si>
    <t xml:space="preserve">  STEP 2  |  2. Clean Data</t>
  </si>
  <si>
    <t>PROPER()</t>
  </si>
  <si>
    <t>Converts 'DOWNTOWN' → 'Downtown'. Use: =PROPER(TRIM(A2))</t>
  </si>
  <si>
    <t>TRIM()</t>
  </si>
  <si>
    <t>Removes extra spaces. Use: =TRIM(A2)  — fixes ' Active' → 'Active'</t>
  </si>
  <si>
    <t>IFERROR()</t>
  </si>
  <si>
    <t>Handles errors gracefully. Use: =IFERROR(formula, fallback_value)</t>
  </si>
  <si>
    <t>TEXT()</t>
  </si>
  <si>
    <t>Extracts month name from a date. Use: =TEXT(B2,"mmm")  → 'Jan'</t>
  </si>
  <si>
    <t>INT() formula</t>
  </si>
  <si>
    <t>Calculates quarter: =INT((MONTH(B2)-1)/3+1) → returns 1, 2, 3, or 4</t>
  </si>
  <si>
    <t>PMT formula</t>
  </si>
  <si>
    <t>Monthly payment: =(L2*(M2/100/12))/(1-(1+M2/100/12)^(-N2)) — beginner finance formula!</t>
  </si>
  <si>
    <t xml:space="preserve">  STEP 3  |  3. Analysis</t>
  </si>
  <si>
    <t>SUMIF()</t>
  </si>
  <si>
    <t>Adds values meeting ONE condition. =SUMIF(range, condition, sum_range)</t>
  </si>
  <si>
    <t>COUNTIF()</t>
  </si>
  <si>
    <t>Counts cells meeting ONE condition. =COUNTIF(range, condition)</t>
  </si>
  <si>
    <t>AVERAGEIF()</t>
  </si>
  <si>
    <t>Averages values meeting ONE condition. =AVERAGEIF(range, condition, avg_range)</t>
  </si>
  <si>
    <t>RANK()</t>
  </si>
  <si>
    <t>Ranks a value in a list. =RANK(value, all_values, 0) — 0 means descending</t>
  </si>
  <si>
    <t>MoM Growth</t>
  </si>
  <si>
    <t>Month-over-month: =(this_month - last_month) / last_month  — fundamental finance metric</t>
  </si>
  <si>
    <t xml:space="preserve">  STEP 4  |  4. Pivot Summary</t>
  </si>
  <si>
    <t>SUMPRODUCT()</t>
  </si>
  <si>
    <t>Most powerful beginner formula — sums with MULTIPLE conditions.</t>
  </si>
  <si>
    <t>Syntax</t>
  </si>
  <si>
    <t xml:space="preserve"> =SUMPRODUCT((range1=condition1)*(range2=condition2)*(values))</t>
  </si>
  <si>
    <t>Why it matters</t>
  </si>
  <si>
    <t>Interviewers LOVE this. It replaces PivotTables with a formula.</t>
  </si>
  <si>
    <t>Practice tip</t>
  </si>
  <si>
    <t>Recreate Table 1 using Insert → PivotTable — do both methods!</t>
  </si>
  <si>
    <t xml:space="preserve">  STEP 5  |  5. Charts</t>
  </si>
  <si>
    <t>Chart 1</t>
  </si>
  <si>
    <t>Column chart — Branch portfolio comparison</t>
  </si>
  <si>
    <t>Chart 2</t>
  </si>
  <si>
    <t>Pie chart — Product category split (Deposits vs Loans vs Cards)</t>
  </si>
  <si>
    <t>Chart 3</t>
  </si>
  <si>
    <t>Line chart — Monthly portfolio trend</t>
  </si>
  <si>
    <t>Chart 4</t>
  </si>
  <si>
    <t>Horizontal bar — Risk level comparison</t>
  </si>
  <si>
    <t>Best practice</t>
  </si>
  <si>
    <t>Always add: chart title, axis labels, and consistent colour scheme</t>
  </si>
  <si>
    <t xml:space="preserve">  STEP 6  |  6. Dashboard</t>
  </si>
  <si>
    <t>KPI Cards</t>
  </si>
  <si>
    <t>4 headline numbers — every finance dashboard starts with these</t>
  </si>
  <si>
    <t>Mini-tables</t>
  </si>
  <si>
    <t>Branch, Category, Risk breakdowns — linked to Clean Data automatically</t>
  </si>
  <si>
    <t>Dynamic</t>
  </si>
  <si>
    <t>Change any number in Clean Data — Dashboard updates instantly. This impresses!</t>
  </si>
  <si>
    <t>Screenshot it</t>
  </si>
  <si>
    <t>Take a screenshot for your CV, LinkedIn, and GitHub portfolio page</t>
  </si>
  <si>
    <t xml:space="preserve">  INTERVIEW CHEAT SHEET</t>
  </si>
  <si>
    <t>Data Cleaning</t>
  </si>
  <si>
    <t>"I found 5 data quality issues and used TRIM, PROPER, and IFERROR to fix them"</t>
  </si>
  <si>
    <t>SUMIF/COUNTIF</t>
  </si>
  <si>
    <t>"I used SUMIF and COUNTIF to aggregate 400 transactions by branch and risk level"</t>
  </si>
  <si>
    <t>SUMPRODUCT</t>
  </si>
  <si>
    <t>"I built multi-dimensional pivot tables using SUMPRODUCT with multiple conditions"</t>
  </si>
  <si>
    <t>Dashboard</t>
  </si>
  <si>
    <t>"The dashboard is fully dynamic — formulas link back to the clean data"</t>
  </si>
  <si>
    <t>Finance angle</t>
  </si>
  <si>
    <t>"I calculated monthly payment amounts using the PMT formula and tracked MoM portfolio growth"</t>
  </si>
  <si>
    <t xml:space="preserve">  NEXT STEPS (Level Up)</t>
  </si>
  <si>
    <t>Add Slicers</t>
  </si>
  <si>
    <t>Insert → Slicer on a PivotTable for interactive filtering</t>
  </si>
  <si>
    <t>Power Query</t>
  </si>
  <si>
    <t>Use Get &amp; Transform Data to automate the cleaning steps</t>
  </si>
  <si>
    <t>IF + AND/OR</t>
  </si>
  <si>
    <t>Try: =IF(AND(L2&gt;100000, K2="High"), "Flag", "OK") — risk flagging</t>
  </si>
  <si>
    <t>VLOOKUP</t>
  </si>
  <si>
    <t>Add a product rate lookup table and use VLOOKUP to pull default rates</t>
  </si>
  <si>
    <t>Sparklines</t>
  </si>
  <si>
    <t>Insert tiny charts inside cells in the monthly trend table</t>
  </si>
  <si>
    <t>BANK TRANSACTION DATA  —  RAW (Contains Data Quality Issues)</t>
  </si>
  <si>
    <t>Transaction ID</t>
  </si>
  <si>
    <t>Date</t>
  </si>
  <si>
    <t>Branch</t>
  </si>
  <si>
    <t>Product</t>
  </si>
  <si>
    <t>Category</t>
  </si>
  <si>
    <t>Relationship Manager</t>
  </si>
  <si>
    <t>Status</t>
  </si>
  <si>
    <t>Risk Level</t>
  </si>
  <si>
    <t>Amount ($)</t>
  </si>
  <si>
    <t>Interest Rate (%)</t>
  </si>
  <si>
    <t>Term (Months)</t>
  </si>
  <si>
    <t>Customer Age</t>
  </si>
  <si>
    <t>Customer Segment</t>
  </si>
  <si>
    <t>TXN-100001</t>
  </si>
  <si>
    <t>2024-04-08</t>
  </si>
  <si>
    <t>Eastgate</t>
  </si>
  <si>
    <t>Business Loan</t>
  </si>
  <si>
    <t>Loans</t>
  </si>
  <si>
    <t>James Patel</t>
  </si>
  <si>
    <t>Active</t>
  </si>
  <si>
    <t>Low</t>
  </si>
  <si>
    <t>Standard</t>
  </si>
  <si>
    <t>TXN-100002</t>
  </si>
  <si>
    <t>2024-11-07</t>
  </si>
  <si>
    <t>Mortgage</t>
  </si>
  <si>
    <t>Maria Lopez</t>
  </si>
  <si>
    <t>Pending</t>
  </si>
  <si>
    <t>Medium</t>
  </si>
  <si>
    <t>TXN-100003</t>
  </si>
  <si>
    <t>2024-01-14</t>
  </si>
  <si>
    <t>Westside</t>
  </si>
  <si>
    <t>Sarah Chen</t>
  </si>
  <si>
    <t>High</t>
  </si>
  <si>
    <t>TXN-100004</t>
  </si>
  <si>
    <t>2024-12-26</t>
  </si>
  <si>
    <t>Personal Loan</t>
  </si>
  <si>
    <t>Inactive</t>
  </si>
  <si>
    <t>Premium</t>
  </si>
  <si>
    <t>TXN-100005</t>
  </si>
  <si>
    <t>2024-03-10</t>
  </si>
  <si>
    <t>Savings Account</t>
  </si>
  <si>
    <t>Deposits</t>
  </si>
  <si>
    <t>David Kim</t>
  </si>
  <si>
    <t>TXN-100006</t>
  </si>
  <si>
    <t>2024-06-23</t>
  </si>
  <si>
    <t>Credit Card</t>
  </si>
  <si>
    <t>Cards</t>
  </si>
  <si>
    <t>Rachel Moore</t>
  </si>
  <si>
    <t>TXN-100007</t>
  </si>
  <si>
    <t>2024-03-07</t>
  </si>
  <si>
    <t>Uptown</t>
  </si>
  <si>
    <t>TXN-100008</t>
  </si>
  <si>
    <t>2024-06-07</t>
  </si>
  <si>
    <t>Downtown</t>
  </si>
  <si>
    <t>TXN-100009</t>
  </si>
  <si>
    <t>2024-11-08</t>
  </si>
  <si>
    <t>TXN-100010</t>
  </si>
  <si>
    <t>2024-02-17</t>
  </si>
  <si>
    <t>TXN-100011</t>
  </si>
  <si>
    <t>2024-07-22</t>
  </si>
  <si>
    <t>TXN-100012</t>
  </si>
  <si>
    <t>2024-11-22</t>
  </si>
  <si>
    <t>Auto Loan</t>
  </si>
  <si>
    <t>TXN-100013</t>
  </si>
  <si>
    <t>2024-04-01</t>
  </si>
  <si>
    <t>Checking Account</t>
  </si>
  <si>
    <t>TXN-100014</t>
  </si>
  <si>
    <t>2024-11-27</t>
  </si>
  <si>
    <t>EASTGATE</t>
  </si>
  <si>
    <t>Fixed Deposit</t>
  </si>
  <si>
    <t>TXN-100015</t>
  </si>
  <si>
    <t>2024-11-23</t>
  </si>
  <si>
    <t>TXN-100016</t>
  </si>
  <si>
    <t>2024-12-06</t>
  </si>
  <si>
    <t>TXN-100017</t>
  </si>
  <si>
    <t>2024-04-15</t>
  </si>
  <si>
    <t>TXN-100018</t>
  </si>
  <si>
    <t>2024-03-19</t>
  </si>
  <si>
    <t>TXN-100019</t>
  </si>
  <si>
    <t>2024-02-16</t>
  </si>
  <si>
    <t>TXN-100020</t>
  </si>
  <si>
    <t>2024-03-05</t>
  </si>
  <si>
    <t>Northpark</t>
  </si>
  <si>
    <t>TXN-100021</t>
  </si>
  <si>
    <t>2024-06-26</t>
  </si>
  <si>
    <t>TXN-100022</t>
  </si>
  <si>
    <t>2024-04-19</t>
  </si>
  <si>
    <t>TXN-100023</t>
  </si>
  <si>
    <t>2024-07-01</t>
  </si>
  <si>
    <t>TXN-100024</t>
  </si>
  <si>
    <t>2024-11-11</t>
  </si>
  <si>
    <t>TXN-100025</t>
  </si>
  <si>
    <t>2024-12-25</t>
  </si>
  <si>
    <t>TXN-100026</t>
  </si>
  <si>
    <t>2024-11-10</t>
  </si>
  <si>
    <t>Basic</t>
  </si>
  <si>
    <t>TXN-100027</t>
  </si>
  <si>
    <t>2024-04-11</t>
  </si>
  <si>
    <t>TXN-100028</t>
  </si>
  <si>
    <t>2024-03-16</t>
  </si>
  <si>
    <t>TXN-100029</t>
  </si>
  <si>
    <t>2024-04-22</t>
  </si>
  <si>
    <t>TXN-100030</t>
  </si>
  <si>
    <t>TXN-100031</t>
  </si>
  <si>
    <t>2024-07-05</t>
  </si>
  <si>
    <t>TXN-100032</t>
  </si>
  <si>
    <t>2024-07-08</t>
  </si>
  <si>
    <t>TXN-100033</t>
  </si>
  <si>
    <t>2024-02-23</t>
  </si>
  <si>
    <t>TXN-100034</t>
  </si>
  <si>
    <t>2024-04-03</t>
  </si>
  <si>
    <t>TXN-100035</t>
  </si>
  <si>
    <t>2024-12-09</t>
  </si>
  <si>
    <t>TXN-100036</t>
  </si>
  <si>
    <t>2024-02-10</t>
  </si>
  <si>
    <t>TXN-100037</t>
  </si>
  <si>
    <t>2024-07-07</t>
  </si>
  <si>
    <t>DOWNTOWN</t>
  </si>
  <si>
    <t>TXN-100038</t>
  </si>
  <si>
    <t>2024-03-27</t>
  </si>
  <si>
    <t>TXN-100039</t>
  </si>
  <si>
    <t>2024-05-09</t>
  </si>
  <si>
    <t>TXN-100040</t>
  </si>
  <si>
    <t>2024-04-28</t>
  </si>
  <si>
    <t>TXN-100041</t>
  </si>
  <si>
    <t>2024-09-08</t>
  </si>
  <si>
    <t>TXN-100042</t>
  </si>
  <si>
    <t>2024-07-15</t>
  </si>
  <si>
    <t>TXN-100043</t>
  </si>
  <si>
    <t>2024-02-20</t>
  </si>
  <si>
    <t>TXN-100044</t>
  </si>
  <si>
    <t>2024-01-23</t>
  </si>
  <si>
    <t>TXN-100045</t>
  </si>
  <si>
    <t>2024-09-10</t>
  </si>
  <si>
    <t>TXN-100046</t>
  </si>
  <si>
    <t>NORTHPARK</t>
  </si>
  <si>
    <t>TXN-100047</t>
  </si>
  <si>
    <t>2024-07-28</t>
  </si>
  <si>
    <t>TXN-100048</t>
  </si>
  <si>
    <t>2024-01-12</t>
  </si>
  <si>
    <t>TXN-100049</t>
  </si>
  <si>
    <t>2024-09-17</t>
  </si>
  <si>
    <t>TXN-100050</t>
  </si>
  <si>
    <t>2024-11-03</t>
  </si>
  <si>
    <t>TXN-100051</t>
  </si>
  <si>
    <t>2024-01-27</t>
  </si>
  <si>
    <t>TXN-100052</t>
  </si>
  <si>
    <t>2024-03-21</t>
  </si>
  <si>
    <t>TXN-100053</t>
  </si>
  <si>
    <t>TXN-100054</t>
  </si>
  <si>
    <t>2024-09-27</t>
  </si>
  <si>
    <t>TXN-100055</t>
  </si>
  <si>
    <t>2024-03-25</t>
  </si>
  <si>
    <t>TXN-100056</t>
  </si>
  <si>
    <t>2024-07-12</t>
  </si>
  <si>
    <t>TXN-100057</t>
  </si>
  <si>
    <t>2024-03-23</t>
  </si>
  <si>
    <t>TXN-100058</t>
  </si>
  <si>
    <t>TXN-100059</t>
  </si>
  <si>
    <t>2024-12-02</t>
  </si>
  <si>
    <t>TXN-100060</t>
  </si>
  <si>
    <t>2024-06-09</t>
  </si>
  <si>
    <t>TXN-100061</t>
  </si>
  <si>
    <t>2024-08-20</t>
  </si>
  <si>
    <t>TXN-100062</t>
  </si>
  <si>
    <t>2024-01-13</t>
  </si>
  <si>
    <t>TXN-100063</t>
  </si>
  <si>
    <t>2024-12-07</t>
  </si>
  <si>
    <t>TXN-100064</t>
  </si>
  <si>
    <t>2024-04-17</t>
  </si>
  <si>
    <t>TXN-100065</t>
  </si>
  <si>
    <t>2024-10-02</t>
  </si>
  <si>
    <t>TXN-100066</t>
  </si>
  <si>
    <t>2024-06-21</t>
  </si>
  <si>
    <t>TXN-100067</t>
  </si>
  <si>
    <t>2024-03-12</t>
  </si>
  <si>
    <t>TXN-100068</t>
  </si>
  <si>
    <t>2024-02-03</t>
  </si>
  <si>
    <t>TXN-100069</t>
  </si>
  <si>
    <t>2024-09-13</t>
  </si>
  <si>
    <t>TXN-100070</t>
  </si>
  <si>
    <t>2024-05-12</t>
  </si>
  <si>
    <t>TXN-100071</t>
  </si>
  <si>
    <t>2024-02-26</t>
  </si>
  <si>
    <t>TXN-100072</t>
  </si>
  <si>
    <t>2024-08-09</t>
  </si>
  <si>
    <t>TXN-100073</t>
  </si>
  <si>
    <t>2024-02-18</t>
  </si>
  <si>
    <t>TXN-100074</t>
  </si>
  <si>
    <t>TXN-100075</t>
  </si>
  <si>
    <t>TXN-100076</t>
  </si>
  <si>
    <t>2024-06-24</t>
  </si>
  <si>
    <t>TXN-100077</t>
  </si>
  <si>
    <t>TXN-100078</t>
  </si>
  <si>
    <t>2024-05-24</t>
  </si>
  <si>
    <t>TXN-100079</t>
  </si>
  <si>
    <t>2024-03-03</t>
  </si>
  <si>
    <t>TXN-100080</t>
  </si>
  <si>
    <t>2024-11-12</t>
  </si>
  <si>
    <t>TXN-100081</t>
  </si>
  <si>
    <t>2024-03-11</t>
  </si>
  <si>
    <t>TXN-100082</t>
  </si>
  <si>
    <t>2024-08-28</t>
  </si>
  <si>
    <t>TXN-100083</t>
  </si>
  <si>
    <t>2024-05-18</t>
  </si>
  <si>
    <t>TXN-100084</t>
  </si>
  <si>
    <t>2024-07-10</t>
  </si>
  <si>
    <t>TXN-100085</t>
  </si>
  <si>
    <t>2024-10-12</t>
  </si>
  <si>
    <t>TXN-100086</t>
  </si>
  <si>
    <t>2024-01-10</t>
  </si>
  <si>
    <t>TXN-100087</t>
  </si>
  <si>
    <t>2024-07-23</t>
  </si>
  <si>
    <t>TXN-100088</t>
  </si>
  <si>
    <t>TXN-100089</t>
  </si>
  <si>
    <t>2024-12-08</t>
  </si>
  <si>
    <t>TXN-100090</t>
  </si>
  <si>
    <t>2024-09-02</t>
  </si>
  <si>
    <t>TXN-100091</t>
  </si>
  <si>
    <t>2024-06-13</t>
  </si>
  <si>
    <t>TXN-100092</t>
  </si>
  <si>
    <t>2024-01-11</t>
  </si>
  <si>
    <t>TXN-100093</t>
  </si>
  <si>
    <t>TXN-100094</t>
  </si>
  <si>
    <t>2024-11-13</t>
  </si>
  <si>
    <t>TXN-100095</t>
  </si>
  <si>
    <t>2024-04-06</t>
  </si>
  <si>
    <t>TXN-100096</t>
  </si>
  <si>
    <t>2024-03-13</t>
  </si>
  <si>
    <t>TXN-100097</t>
  </si>
  <si>
    <t>TXN-100098</t>
  </si>
  <si>
    <t>2024-09-14</t>
  </si>
  <si>
    <t>TXN-100099</t>
  </si>
  <si>
    <t>2024-01-18</t>
  </si>
  <si>
    <t>TXN-100100</t>
  </si>
  <si>
    <t>2024-09-04</t>
  </si>
  <si>
    <t>TXN-100101</t>
  </si>
  <si>
    <t>2024-10-25</t>
  </si>
  <si>
    <t>TXN-100102</t>
  </si>
  <si>
    <t>2024-02-08</t>
  </si>
  <si>
    <t>TXN-100103</t>
  </si>
  <si>
    <t>2024-02-01</t>
  </si>
  <si>
    <t>TXN-100104</t>
  </si>
  <si>
    <t>2024-06-19</t>
  </si>
  <si>
    <t>TXN-100105</t>
  </si>
  <si>
    <t>2024-04-18</t>
  </si>
  <si>
    <t>TXN-100106</t>
  </si>
  <si>
    <t>2024-11-20</t>
  </si>
  <si>
    <t>TXN-100107</t>
  </si>
  <si>
    <t>2024-03-09</t>
  </si>
  <si>
    <t>TXN-100108</t>
  </si>
  <si>
    <t>TXN-100109</t>
  </si>
  <si>
    <t>2024-05-04</t>
  </si>
  <si>
    <t>TXN-100110</t>
  </si>
  <si>
    <t>2024-10-15</t>
  </si>
  <si>
    <t>TXN-100111</t>
  </si>
  <si>
    <t>2024-05-08</t>
  </si>
  <si>
    <t>TXN-100112</t>
  </si>
  <si>
    <t>2024-09-28</t>
  </si>
  <si>
    <t>TXN-100113</t>
  </si>
  <si>
    <t>2024-09-12</t>
  </si>
  <si>
    <t>TXN-100114</t>
  </si>
  <si>
    <t>TXN-100115</t>
  </si>
  <si>
    <t>TXN-100116</t>
  </si>
  <si>
    <t>2024-01-01</t>
  </si>
  <si>
    <t>TXN-100117</t>
  </si>
  <si>
    <t>TXN-100118</t>
  </si>
  <si>
    <t>2024-02-11</t>
  </si>
  <si>
    <t>TXN-100119</t>
  </si>
  <si>
    <t>TXN-100120</t>
  </si>
  <si>
    <t>2024-08-13</t>
  </si>
  <si>
    <t>TXN-100121</t>
  </si>
  <si>
    <t>TXN-100122</t>
  </si>
  <si>
    <t>2024-04-09</t>
  </si>
  <si>
    <t>TXN-100123</t>
  </si>
  <si>
    <t>TXN-100124</t>
  </si>
  <si>
    <t>2024-10-13</t>
  </si>
  <si>
    <t>TXN-100125</t>
  </si>
  <si>
    <t>2024-06-01</t>
  </si>
  <si>
    <t>TXN-100126</t>
  </si>
  <si>
    <t>2024-08-12</t>
  </si>
  <si>
    <t>TXN-100127</t>
  </si>
  <si>
    <t>2024-02-19</t>
  </si>
  <si>
    <t>TXN-100128</t>
  </si>
  <si>
    <t>2024-03-04</t>
  </si>
  <si>
    <t>TXN-100129</t>
  </si>
  <si>
    <t>2024-12-15</t>
  </si>
  <si>
    <t>TXN-100130</t>
  </si>
  <si>
    <t>TXN-100131</t>
  </si>
  <si>
    <t>2024-03-14</t>
  </si>
  <si>
    <t>TXN-100132</t>
  </si>
  <si>
    <t>TXN-100133</t>
  </si>
  <si>
    <t>TXN-100134</t>
  </si>
  <si>
    <t>TXN-100135</t>
  </si>
  <si>
    <t>2024-06-27</t>
  </si>
  <si>
    <t>TXN-100136</t>
  </si>
  <si>
    <t>2024-02-15</t>
  </si>
  <si>
    <t xml:space="preserve"> Active</t>
  </si>
  <si>
    <t>TXN-100137</t>
  </si>
  <si>
    <t>2024-04-02</t>
  </si>
  <si>
    <t>TXN-100138</t>
  </si>
  <si>
    <t>2024-05-23</t>
  </si>
  <si>
    <t>TXN-100139</t>
  </si>
  <si>
    <t>TXN-100140</t>
  </si>
  <si>
    <t>2024-08-04</t>
  </si>
  <si>
    <t>TXN-100141</t>
  </si>
  <si>
    <t>2024-12-28</t>
  </si>
  <si>
    <t>TXN-100142</t>
  </si>
  <si>
    <t>2024-06-14</t>
  </si>
  <si>
    <t>TXN-100143</t>
  </si>
  <si>
    <t>2024-11-19</t>
  </si>
  <si>
    <t>TXN-100144</t>
  </si>
  <si>
    <t>2024-05-17</t>
  </si>
  <si>
    <t>TXN-100145</t>
  </si>
  <si>
    <t>2024-12-14</t>
  </si>
  <si>
    <t>TXN-100146</t>
  </si>
  <si>
    <t>2024-05-28</t>
  </si>
  <si>
    <t>TXN-100147</t>
  </si>
  <si>
    <t>TXN-100148</t>
  </si>
  <si>
    <t>TXN-100149</t>
  </si>
  <si>
    <t>2024-06-11</t>
  </si>
  <si>
    <t>TXN-100150</t>
  </si>
  <si>
    <t>2024-06-08</t>
  </si>
  <si>
    <t>TXN-100151</t>
  </si>
  <si>
    <t>2024-07-13</t>
  </si>
  <si>
    <t>TXN-100152</t>
  </si>
  <si>
    <t>2024-04-04</t>
  </si>
  <si>
    <t>TXN-100153</t>
  </si>
  <si>
    <t>2024-08-15</t>
  </si>
  <si>
    <t>TXN-100154</t>
  </si>
  <si>
    <t>UPTOWN</t>
  </si>
  <si>
    <t>TXN-100155</t>
  </si>
  <si>
    <t>2024-12-20</t>
  </si>
  <si>
    <t>TXN-100156</t>
  </si>
  <si>
    <t>2024-02-22</t>
  </si>
  <si>
    <t>TXN-100157</t>
  </si>
  <si>
    <t>2024-08-23</t>
  </si>
  <si>
    <t>TXN-100158</t>
  </si>
  <si>
    <t>TXN-100159</t>
  </si>
  <si>
    <t>TXN-100160</t>
  </si>
  <si>
    <t>2024-09-23</t>
  </si>
  <si>
    <t>TXN-100161</t>
  </si>
  <si>
    <t>2024-01-05</t>
  </si>
  <si>
    <t>TXN-100162</t>
  </si>
  <si>
    <t>TXN-100163</t>
  </si>
  <si>
    <t>TXN-100164</t>
  </si>
  <si>
    <t>2024-04-12</t>
  </si>
  <si>
    <t>TXN-100165</t>
  </si>
  <si>
    <t>TXN-100166</t>
  </si>
  <si>
    <t>2024-05-02</t>
  </si>
  <si>
    <t>TXN-100167</t>
  </si>
  <si>
    <t>2024-02-12</t>
  </si>
  <si>
    <t>TXN-100168</t>
  </si>
  <si>
    <t>TXN-100169</t>
  </si>
  <si>
    <t>2024-11-02</t>
  </si>
  <si>
    <t>TXN-100170</t>
  </si>
  <si>
    <t>TXN-100171</t>
  </si>
  <si>
    <t>2024-11-15</t>
  </si>
  <si>
    <t>TXN-100172</t>
  </si>
  <si>
    <t>TXN-100173</t>
  </si>
  <si>
    <t>2024-08-05</t>
  </si>
  <si>
    <t>TXN-100174</t>
  </si>
  <si>
    <t>2024-09-19</t>
  </si>
  <si>
    <t>TXN-100175</t>
  </si>
  <si>
    <t>TXN-100176</t>
  </si>
  <si>
    <t>2024-09-22</t>
  </si>
  <si>
    <t>TXN-100177</t>
  </si>
  <si>
    <t>2024-01-22</t>
  </si>
  <si>
    <t>TXN-100178</t>
  </si>
  <si>
    <t>2024-07-06</t>
  </si>
  <si>
    <t>TXN-100179</t>
  </si>
  <si>
    <t>2024-04-25</t>
  </si>
  <si>
    <t>TXN-100180</t>
  </si>
  <si>
    <t>TXN-100181</t>
  </si>
  <si>
    <t>2024-12-16</t>
  </si>
  <si>
    <t>TXN-100182</t>
  </si>
  <si>
    <t>2024-10-27</t>
  </si>
  <si>
    <t>TXN-100183</t>
  </si>
  <si>
    <t>2024-06-10</t>
  </si>
  <si>
    <t>TXN-100184</t>
  </si>
  <si>
    <t>2024-01-24</t>
  </si>
  <si>
    <t>TXN-100185</t>
  </si>
  <si>
    <t>TXN-100186</t>
  </si>
  <si>
    <t>TXN-100187</t>
  </si>
  <si>
    <t>2024-01-28</t>
  </si>
  <si>
    <t>TXN-100188</t>
  </si>
  <si>
    <t>2024-07-11</t>
  </si>
  <si>
    <t>TXN-100189</t>
  </si>
  <si>
    <t>2024-12-04</t>
  </si>
  <si>
    <t>TXN-100190</t>
  </si>
  <si>
    <t>2024-07-20</t>
  </si>
  <si>
    <t>TXN-100191</t>
  </si>
  <si>
    <t>2024-01-07</t>
  </si>
  <si>
    <t>TXN-100192</t>
  </si>
  <si>
    <t>TXN-100193</t>
  </si>
  <si>
    <t>TXN-100194</t>
  </si>
  <si>
    <t>TXN-100195</t>
  </si>
  <si>
    <t>TXN-100196</t>
  </si>
  <si>
    <t>2024-10-23</t>
  </si>
  <si>
    <t>TXN-100197</t>
  </si>
  <si>
    <t>2024-04-20</t>
  </si>
  <si>
    <t>TXN-100198</t>
  </si>
  <si>
    <t>2024-06-12</t>
  </si>
  <si>
    <t>TXN-100199</t>
  </si>
  <si>
    <t>TXN-100200</t>
  </si>
  <si>
    <t>2024-01-26</t>
  </si>
  <si>
    <t>TXN-100201</t>
  </si>
  <si>
    <t>2024-06-15</t>
  </si>
  <si>
    <t>TXN-100202</t>
  </si>
  <si>
    <t>2024-02-06</t>
  </si>
  <si>
    <t>TXN-100203</t>
  </si>
  <si>
    <t>2024-01-02</t>
  </si>
  <si>
    <t>TXN-100204</t>
  </si>
  <si>
    <t>2024-08-24</t>
  </si>
  <si>
    <t>TXN-100205</t>
  </si>
  <si>
    <t>2024-04-07</t>
  </si>
  <si>
    <t>TXN-100206</t>
  </si>
  <si>
    <t>2024-02-09</t>
  </si>
  <si>
    <t>TXN-100207</t>
  </si>
  <si>
    <t>TXN-100208</t>
  </si>
  <si>
    <t>2024-09-20</t>
  </si>
  <si>
    <t>TXN-100209</t>
  </si>
  <si>
    <t>2024-02-05</t>
  </si>
  <si>
    <t>TXN-100210</t>
  </si>
  <si>
    <t>2024-11-25</t>
  </si>
  <si>
    <t>TXN-100211</t>
  </si>
  <si>
    <t>TXN-100212</t>
  </si>
  <si>
    <t>2024-04-16</t>
  </si>
  <si>
    <t>TXN-100213</t>
  </si>
  <si>
    <t>TXN-100214</t>
  </si>
  <si>
    <t>TXN-100215</t>
  </si>
  <si>
    <t>TXN-100216</t>
  </si>
  <si>
    <t>TXN-100217</t>
  </si>
  <si>
    <t>2024-05-15</t>
  </si>
  <si>
    <t>TXN-100218</t>
  </si>
  <si>
    <t>2024-01-17</t>
  </si>
  <si>
    <t>TXN-100219</t>
  </si>
  <si>
    <t>2024-03-24</t>
  </si>
  <si>
    <t>TXN-100220</t>
  </si>
  <si>
    <t>TXN-100221</t>
  </si>
  <si>
    <t>2024-08-01</t>
  </si>
  <si>
    <t>WESTSIDE</t>
  </si>
  <si>
    <t>TXN-100222</t>
  </si>
  <si>
    <t>2024-01-16</t>
  </si>
  <si>
    <t>TXN-100223</t>
  </si>
  <si>
    <t>TXN-100224</t>
  </si>
  <si>
    <t>2024-10-05</t>
  </si>
  <si>
    <t>TXN-100225</t>
  </si>
  <si>
    <t>TXN-100226</t>
  </si>
  <si>
    <t>TXN-100227</t>
  </si>
  <si>
    <t>TXN-100228</t>
  </si>
  <si>
    <t>2024-09-11</t>
  </si>
  <si>
    <t>TXN-100229</t>
  </si>
  <si>
    <t>2024-10-26</t>
  </si>
  <si>
    <t>TXN-100230</t>
  </si>
  <si>
    <t>TXN-100231</t>
  </si>
  <si>
    <t xml:space="preserve"> Inactive</t>
  </si>
  <si>
    <t>TXN-100232</t>
  </si>
  <si>
    <t>TXN-100233</t>
  </si>
  <si>
    <t>2024-01-20</t>
  </si>
  <si>
    <t>TXN-100234</t>
  </si>
  <si>
    <t>2024-12-03</t>
  </si>
  <si>
    <t>TXN-100235</t>
  </si>
  <si>
    <t>TXN-100236</t>
  </si>
  <si>
    <t>TXN-100237</t>
  </si>
  <si>
    <t>2024-07-27</t>
  </si>
  <si>
    <t>TXN-100238</t>
  </si>
  <si>
    <t>TXN-100239</t>
  </si>
  <si>
    <t>2024-03-08</t>
  </si>
  <si>
    <t>TXN-100240</t>
  </si>
  <si>
    <t>2024-05-13</t>
  </si>
  <si>
    <t>TXN-100241</t>
  </si>
  <si>
    <t>TXN-100242</t>
  </si>
  <si>
    <t>2024-03-15</t>
  </si>
  <si>
    <t>TXN-100243</t>
  </si>
  <si>
    <t>TXN-100244</t>
  </si>
  <si>
    <t>2024-03-22</t>
  </si>
  <si>
    <t>TXN-100245</t>
  </si>
  <si>
    <t>2024-12-22</t>
  </si>
  <si>
    <t>TXN-100246</t>
  </si>
  <si>
    <t>2024-10-21</t>
  </si>
  <si>
    <t>TXN-100247</t>
  </si>
  <si>
    <t>TXN-100248</t>
  </si>
  <si>
    <t>TXN-100249</t>
  </si>
  <si>
    <t>TXN-100250</t>
  </si>
  <si>
    <t>TXN-100251</t>
  </si>
  <si>
    <t>TXN-100252</t>
  </si>
  <si>
    <t>2024-05-16</t>
  </si>
  <si>
    <t>TXN-100253</t>
  </si>
  <si>
    <t>2024-10-19</t>
  </si>
  <si>
    <t>TXN-100254</t>
  </si>
  <si>
    <t>TXN-100255</t>
  </si>
  <si>
    <t>TXN-100256</t>
  </si>
  <si>
    <t>2024-10-06</t>
  </si>
  <si>
    <t>TXN-100257</t>
  </si>
  <si>
    <t>TXN-100258</t>
  </si>
  <si>
    <t>2024-10-24</t>
  </si>
  <si>
    <t>TXN-100259</t>
  </si>
  <si>
    <t>2024-01-06</t>
  </si>
  <si>
    <t>TXN-100260</t>
  </si>
  <si>
    <t>TXN-100261</t>
  </si>
  <si>
    <t>TXN-100262</t>
  </si>
  <si>
    <t>TXN-100263</t>
  </si>
  <si>
    <t>TXN-100264</t>
  </si>
  <si>
    <t>TXN-100265</t>
  </si>
  <si>
    <t>TXN-100266</t>
  </si>
  <si>
    <t>2024-03-26</t>
  </si>
  <si>
    <t>TXN-100267</t>
  </si>
  <si>
    <t>TXN-100268</t>
  </si>
  <si>
    <t>2024-02-21</t>
  </si>
  <si>
    <t>TXN-100269</t>
  </si>
  <si>
    <t>TXN-100270</t>
  </si>
  <si>
    <t>2024-06-02</t>
  </si>
  <si>
    <t>TXN-100271</t>
  </si>
  <si>
    <t>TXN-100272</t>
  </si>
  <si>
    <t>2024-04-27</t>
  </si>
  <si>
    <t>TXN-100273</t>
  </si>
  <si>
    <t>2024-01-19</t>
  </si>
  <si>
    <t>TXN-100274</t>
  </si>
  <si>
    <t>2024-07-18</t>
  </si>
  <si>
    <t>TXN-100275</t>
  </si>
  <si>
    <t>2024-05-20</t>
  </si>
  <si>
    <t>TXN-100276</t>
  </si>
  <si>
    <t>TXN-100277</t>
  </si>
  <si>
    <t>2024-05-01</t>
  </si>
  <si>
    <t>TXN-100278</t>
  </si>
  <si>
    <t>TXN-100279</t>
  </si>
  <si>
    <t>2024-08-10</t>
  </si>
  <si>
    <t>TXN-100280</t>
  </si>
  <si>
    <t>TXN-100281</t>
  </si>
  <si>
    <t>TXN-100282</t>
  </si>
  <si>
    <t>TXN-100283</t>
  </si>
  <si>
    <t>TXN-100284</t>
  </si>
  <si>
    <t>TXN-100285</t>
  </si>
  <si>
    <t>TXN-100286</t>
  </si>
  <si>
    <t>2024-04-24</t>
  </si>
  <si>
    <t>TXN-100287</t>
  </si>
  <si>
    <t>TXN-100288</t>
  </si>
  <si>
    <t>TXN-100289</t>
  </si>
  <si>
    <t>TXN-100290</t>
  </si>
  <si>
    <t>TXN-100291</t>
  </si>
  <si>
    <t>2024-07-25</t>
  </si>
  <si>
    <t>TXN-100292</t>
  </si>
  <si>
    <t>2024-05-05</t>
  </si>
  <si>
    <t>TXN-100293</t>
  </si>
  <si>
    <t>2024-10-18</t>
  </si>
  <si>
    <t>TXN-100294</t>
  </si>
  <si>
    <t>TXN-100295</t>
  </si>
  <si>
    <t>2024-12-12</t>
  </si>
  <si>
    <t>TXN-100296</t>
  </si>
  <si>
    <t>TXN-100297</t>
  </si>
  <si>
    <t>2024-02-07</t>
  </si>
  <si>
    <t>TXN-100298</t>
  </si>
  <si>
    <t>TXN-100299</t>
  </si>
  <si>
    <t>TXN-100300</t>
  </si>
  <si>
    <t>2024-07-14</t>
  </si>
  <si>
    <t>TXN-100301</t>
  </si>
  <si>
    <t>TXN-100302</t>
  </si>
  <si>
    <t>2024-04-14</t>
  </si>
  <si>
    <t>TXN-100303</t>
  </si>
  <si>
    <t>2024-08-06</t>
  </si>
  <si>
    <t>TXN-100304</t>
  </si>
  <si>
    <t>2024-10-28</t>
  </si>
  <si>
    <t>TXN-100305</t>
  </si>
  <si>
    <t>TXN-100306</t>
  </si>
  <si>
    <t>2024-01-21</t>
  </si>
  <si>
    <t>TXN-100307</t>
  </si>
  <si>
    <t>TXN-100308</t>
  </si>
  <si>
    <t>TXN-100309</t>
  </si>
  <si>
    <t>TXN-100310</t>
  </si>
  <si>
    <t>TXN-100311</t>
  </si>
  <si>
    <t>2024-08-14</t>
  </si>
  <si>
    <t>TXN-100312</t>
  </si>
  <si>
    <t>2024-09-03</t>
  </si>
  <si>
    <t>TXN-100313</t>
  </si>
  <si>
    <t>2024-06-16</t>
  </si>
  <si>
    <t>TXN-100314</t>
  </si>
  <si>
    <t>TXN-100315</t>
  </si>
  <si>
    <t>TXN-100316</t>
  </si>
  <si>
    <t>TXN-100317</t>
  </si>
  <si>
    <t>TXN-100318</t>
  </si>
  <si>
    <t>TXN-100319</t>
  </si>
  <si>
    <t>TXN-100320</t>
  </si>
  <si>
    <t>2024-09-25</t>
  </si>
  <si>
    <t>TXN-100321</t>
  </si>
  <si>
    <t>2024-08-19</t>
  </si>
  <si>
    <t>TXN-100322</t>
  </si>
  <si>
    <t>TXN-100323</t>
  </si>
  <si>
    <t>TXN-100324</t>
  </si>
  <si>
    <t>2024-06-25</t>
  </si>
  <si>
    <t>TXN-100325</t>
  </si>
  <si>
    <t>2024-05-14</t>
  </si>
  <si>
    <t>TXN-100326</t>
  </si>
  <si>
    <t>TXN-100327</t>
  </si>
  <si>
    <t>2024-06-03</t>
  </si>
  <si>
    <t>TXN-100328</t>
  </si>
  <si>
    <t>TXN-100329</t>
  </si>
  <si>
    <t>TXN-100330</t>
  </si>
  <si>
    <t>TXN-100331</t>
  </si>
  <si>
    <t>TXN-100332</t>
  </si>
  <si>
    <t>TXN-100333</t>
  </si>
  <si>
    <t>TXN-100334</t>
  </si>
  <si>
    <t>2024-11-04</t>
  </si>
  <si>
    <t>TXN-100335</t>
  </si>
  <si>
    <t>2024-09-24</t>
  </si>
  <si>
    <t>TXN-100336</t>
  </si>
  <si>
    <t>2024-11-01</t>
  </si>
  <si>
    <t>TXN-100337</t>
  </si>
  <si>
    <t>TXN-100338</t>
  </si>
  <si>
    <t>TXN-100339</t>
  </si>
  <si>
    <t>TXN-100340</t>
  </si>
  <si>
    <t>TXN-100341</t>
  </si>
  <si>
    <t>2024-11-09</t>
  </si>
  <si>
    <t>TXN-100342</t>
  </si>
  <si>
    <t>TXN-100343</t>
  </si>
  <si>
    <t>2024-10-17</t>
  </si>
  <si>
    <t>TXN-100344</t>
  </si>
  <si>
    <t>TXN-100345</t>
  </si>
  <si>
    <t>2024-11-14</t>
  </si>
  <si>
    <t>TXN-100346</t>
  </si>
  <si>
    <t>TXN-100347</t>
  </si>
  <si>
    <t>TXN-100348</t>
  </si>
  <si>
    <t>2024-12-13</t>
  </si>
  <si>
    <t>TXN-100349</t>
  </si>
  <si>
    <t>2024-08-11</t>
  </si>
  <si>
    <t>TXN-100350</t>
  </si>
  <si>
    <t>TXN-100351</t>
  </si>
  <si>
    <t>TXN-100352</t>
  </si>
  <si>
    <t>TXN-100353</t>
  </si>
  <si>
    <t>TXN-100354</t>
  </si>
  <si>
    <t>2024-11-05</t>
  </si>
  <si>
    <t>TXN-100355</t>
  </si>
  <si>
    <t>TXN-100356</t>
  </si>
  <si>
    <t>TXN-100357</t>
  </si>
  <si>
    <t>TXN-100358</t>
  </si>
  <si>
    <t>2024-12-19</t>
  </si>
  <si>
    <t>TXN-100359</t>
  </si>
  <si>
    <t>2024-11-18</t>
  </si>
  <si>
    <t>TXN-100360</t>
  </si>
  <si>
    <t>2024-10-09</t>
  </si>
  <si>
    <t>TXN-100361</t>
  </si>
  <si>
    <t>TXN-100362</t>
  </si>
  <si>
    <t>TXN-100363</t>
  </si>
  <si>
    <t>2024-02-24</t>
  </si>
  <si>
    <t>TXN-100364</t>
  </si>
  <si>
    <t>TXN-100365</t>
  </si>
  <si>
    <t>TXN-100366</t>
  </si>
  <si>
    <t>TXN-100367</t>
  </si>
  <si>
    <t>2024-08-22</t>
  </si>
  <si>
    <t>TXN-100368</t>
  </si>
  <si>
    <t>TXN-100369</t>
  </si>
  <si>
    <t>TXN-100370</t>
  </si>
  <si>
    <t>TXN-100371</t>
  </si>
  <si>
    <t>TXN-100372</t>
  </si>
  <si>
    <t>2024-09-05</t>
  </si>
  <si>
    <t>TXN-100373</t>
  </si>
  <si>
    <t>TXN-100374</t>
  </si>
  <si>
    <t>2024-05-06</t>
  </si>
  <si>
    <t>TXN-100375</t>
  </si>
  <si>
    <t>2024-11-21</t>
  </si>
  <si>
    <t>TXN-100376</t>
  </si>
  <si>
    <t>TXN-100377</t>
  </si>
  <si>
    <t>TXN-100378</t>
  </si>
  <si>
    <t>2024-12-10</t>
  </si>
  <si>
    <t>TXN-100379</t>
  </si>
  <si>
    <t>TXN-100380</t>
  </si>
  <si>
    <t>TXN-100381</t>
  </si>
  <si>
    <t>TXN-100382</t>
  </si>
  <si>
    <t>2024-08-27</t>
  </si>
  <si>
    <t>TXN-100383</t>
  </si>
  <si>
    <t>2024-10-01</t>
  </si>
  <si>
    <t>TXN-100384</t>
  </si>
  <si>
    <t>TXN-100385</t>
  </si>
  <si>
    <t>TXN-100386</t>
  </si>
  <si>
    <t>TXN-100387</t>
  </si>
  <si>
    <t>2024-05-27</t>
  </si>
  <si>
    <t>TXN-100388</t>
  </si>
  <si>
    <t>2024-12-24</t>
  </si>
  <si>
    <t>TXN-100389</t>
  </si>
  <si>
    <t>2024-02-02</t>
  </si>
  <si>
    <t>TXN-100390</t>
  </si>
  <si>
    <t>2024-07-04</t>
  </si>
  <si>
    <t>TXN-100391</t>
  </si>
  <si>
    <t>TXN-100392</t>
  </si>
  <si>
    <t>TXN-100393</t>
  </si>
  <si>
    <t>TXN-100394</t>
  </si>
  <si>
    <t>2024-07-03</t>
  </si>
  <si>
    <t>TXN-100395</t>
  </si>
  <si>
    <t>TXN-100396</t>
  </si>
  <si>
    <t>TXN-100397</t>
  </si>
  <si>
    <t>2024-09-16</t>
  </si>
  <si>
    <t>TXN-100398</t>
  </si>
  <si>
    <t>2024-02-25</t>
  </si>
  <si>
    <t>TXN-100399</t>
  </si>
  <si>
    <t>TXN-100400</t>
  </si>
  <si>
    <t>2024-09-26</t>
  </si>
  <si>
    <t>⚠️  KNOWN DATA QUALITY ISSUES (find and fix these in Sheet 2):
  1. Branch column — some entries are ALL CAPS (e.g. 'DOWNTOWN' instead of 'Downtown')
  2. Status column — some entries have a leading space ('  Active' instead of 'Active')
  3. Amount column — ~10 rows have blank/missing values
  4. Interest Rate column — ~8 rows have blank/missing values
  5. No Month, Quarter, or Year columns — need to be extracted from Date</t>
  </si>
  <si>
    <t>BANK TRANSACTION DATA  —  CLEANED &amp; ENRICHED</t>
  </si>
  <si>
    <t>Month</t>
  </si>
  <si>
    <t>Quarter</t>
  </si>
  <si>
    <t>Year</t>
  </si>
  <si>
    <t>Monthly Payment ($)</t>
  </si>
  <si>
    <t>✅  CLEANING STEPS APPLIED — What you learn:
  • PROPER(TRIM(...))  →  fixes Branch casing  (DOWNTOWN → Downtown)
  • PROPER(TRIM(...))  →  removes leading spaces from Status  (' Active' → 'Active')
  • IFERROR + AVERAGE  →  fills missing Amount &amp; Rate with column average
  • TEXT(date,"mmm")   →  extracts Month name
  • INT((MONTH()-1)/3+1) → calculates Quarter number
  • PMT-style formula  →  calculates Monthly Payment for each loan</t>
  </si>
  <si>
    <t>FINANCIAL ANALYSIS  —  Key Metrics &amp; Breakdowns</t>
  </si>
  <si>
    <t xml:space="preserve">  📌 KEY PERFORMANCE INDICATORS</t>
  </si>
  <si>
    <t>Total Portfolio Value</t>
  </si>
  <si>
    <t>Total Transactions</t>
  </si>
  <si>
    <t>Average Loan Amount</t>
  </si>
  <si>
    <t>Average Interest Rate</t>
  </si>
  <si>
    <t xml:space="preserve">  📊 A. Portfolio Volume by Branch</t>
  </si>
  <si>
    <t xml:space="preserve">  📊 B. Portfolio by Product Category</t>
  </si>
  <si>
    <t>Total Amount ($)</t>
  </si>
  <si>
    <t># Transactions</t>
  </si>
  <si>
    <t>Avg Amount ($)</t>
  </si>
  <si>
    <t>Share (%)</t>
  </si>
  <si>
    <t># Deals</t>
  </si>
  <si>
    <t>Avg Rate (%)</t>
  </si>
  <si>
    <t>Avg Term (mo)</t>
  </si>
  <si>
    <t>TOTAL</t>
  </si>
  <si>
    <t xml:space="preserve">  📅 C. Monthly Transaction Volume (2024)</t>
  </si>
  <si>
    <t xml:space="preserve">  ⚠️ D. Portfolio by Risk Level</t>
  </si>
  <si>
    <t>MoM Growth (%)</t>
  </si>
  <si>
    <t># Accounts</t>
  </si>
  <si>
    <t>% Portfolio</t>
  </si>
  <si>
    <t>Jan</t>
  </si>
  <si>
    <t>N/A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</si>
  <si>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</si>
  <si>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</si>
  <si>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</si>
  <si>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</si>
  <si>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</si>
  <si>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</si>
  <si>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</si>
  <si>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</si>
  <si>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</si>
  <si>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</si>
  <si>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</si>
  <si>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🏆 E. Relationship Manager Performance</t>
  </si>
  <si>
    <t>Manager</t>
  </si>
  <si>
    <t>Total Portfolio ($)</t>
  </si>
  <si>
    <t>Avg Deal ($)</t>
  </si>
  <si>
    <t>Rank</t>
  </si>
  <si>
    <t>PIVOT-STYLE SUMMARY TABLES  —  Multi-Dimensional Analysis</t>
  </si>
  <si>
    <t xml:space="preserve">  Pivot 1: Amount ($) by Branch vs. Product Category</t>
  </si>
  <si>
    <t>Branch / Category</t>
  </si>
  <si>
    <t>Row Total</t>
  </si>
  <si>
    <t>Risk / Segment</t>
  </si>
  <si>
    <t>Column Total</t>
  </si>
  <si>
    <t xml:space="preserve">  Pivot 2: Number of Deals by Risk Level vs. Customer Segment</t>
  </si>
  <si>
    <t xml:space="preserve">  Pivot 3: Amount ($) by Quarter vs. Branch</t>
  </si>
  <si>
    <t>Quarter / Branch</t>
  </si>
  <si>
    <t>Total</t>
  </si>
  <si>
    <t>Q1</t>
  </si>
  <si>
    <t>Q2</t>
  </si>
  <si>
    <t>Q3</t>
  </si>
  <si>
    <t>Q4</t>
  </si>
  <si>
    <t>💡  TIP: These pivot-style tables use SUMPRODUCT() with multiple conditions. Try recreating them using Excel's built-in PivotTable feature (Insert → PivotTable) for practice — it's one of the most-asked interview topics!</t>
  </si>
  <si>
    <t>VISUAL ANALYTICS  —  Portfolio Charts &amp; Trends</t>
  </si>
  <si>
    <t>Amount</t>
  </si>
  <si>
    <t>🏦  BANK PORTFOLIO PERFORMANCE DASHBOARD  |  FY 2024</t>
  </si>
  <si>
    <t>Deposits  ·  Loans  ·  Cards  |  5 Branches  ·  5 Relationship Managers  ·  3 Risk Levels</t>
  </si>
  <si>
    <t>💰 Active Portfolio</t>
  </si>
  <si>
    <t>📋 Total Deals</t>
  </si>
  <si>
    <t>📈 Avg Loan Amount</t>
  </si>
  <si>
    <t>⚡ High Risk Deals</t>
  </si>
  <si>
    <t xml:space="preserve">  BREAKDOWN BY KEY DIMENSIONS</t>
  </si>
  <si>
    <t>Deals</t>
  </si>
  <si>
    <t>Rate (%)</t>
  </si>
  <si>
    <t>Risk</t>
  </si>
  <si>
    <t>Count</t>
  </si>
  <si>
    <t>🏆 Top Performing Manager</t>
  </si>
  <si>
    <t>ℹ️  All figures update automatically from '2. Clean Data'.  Explore sheets: 1. Raw Data → 2. Clean Data → 3. Analysis → 4. Pivot Summary → 5. Charts → 6.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</si>
</sst>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\$#,##0.00"/>
    <numFmt numFmtId="166" formatCode="\$#,##0"/>
    <numFmt numFmtId="167" formatCode="0.00\%"/>
    <numFmt numFmtId="168" formatCode="0.0%"/>
  </numFmts>
  <fonts count="21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1B2A4A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i/>
      <sz val="9"/>
      <color rgb="FF555555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b/>
      <sz val="20"/>
      <color rgb="FFFFFFFF"/>
      <name val="Arial"/>
      <family val="2"/>
    </font>
    <font>
      <i/>
      <sz val="9"/>
      <color rgb="FFBDD7EE"/>
      <name val="Arial"/>
      <family val="2"/>
    </font>
    <font>
      <b/>
      <sz val="18"/>
      <color rgb="FFFFFFFF"/>
      <name val="Arial"/>
      <family val="2"/>
    </font>
    <font>
      <b/>
      <sz val="14"/>
      <color rgb="FF1B2A4A"/>
      <name val="Arial"/>
      <family val="2"/>
    </font>
    <font>
      <i/>
      <sz val="8"/>
      <color rgb="FF555555"/>
      <name val="Arial"/>
      <family val="2"/>
    </font>
    <font>
      <sz val="9"/>
      <color theme="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BF4FB"/>
        <bgColor rgb="FFF5F5F5"/>
      </patternFill>
    </fill>
    <fill>
      <patternFill patternType="solid">
        <fgColor rgb="FF2C3E6B"/>
        <bgColor rgb="FF1B2A4A"/>
      </patternFill>
    </fill>
    <fill>
      <patternFill patternType="solid">
        <fgColor rgb="FFD6E8F7"/>
        <bgColor rgb="FFE2EFDA"/>
      </patternFill>
    </fill>
    <fill>
      <patternFill patternType="solid">
        <fgColor rgb="FFFFFFFF"/>
        <bgColor rgb="FFF9F9F9"/>
      </patternFill>
    </fill>
    <fill>
      <patternFill patternType="solid">
        <fgColor rgb="FFC0392B"/>
        <bgColor rgb="FFC0504D"/>
      </patternFill>
    </fill>
    <fill>
      <patternFill patternType="solid">
        <fgColor rgb="FF922B21"/>
        <bgColor rgb="FF8B4513"/>
      </patternFill>
    </fill>
    <fill>
      <patternFill patternType="solid">
        <fgColor rgb="FFF5F5F5"/>
        <bgColor rgb="FFF9F9F9"/>
      </patternFill>
    </fill>
    <fill>
      <patternFill patternType="solid">
        <fgColor rgb="FFFFF2CC"/>
        <bgColor rgb="FFFDECEA"/>
      </patternFill>
    </fill>
    <fill>
      <patternFill patternType="solid">
        <fgColor rgb="FFE2EFDA"/>
        <bgColor rgb="FFEBF4FB"/>
      </patternFill>
    </fill>
    <fill>
      <patternFill patternType="solid">
        <fgColor rgb="FF2E6DA4"/>
        <bgColor rgb="FF4F81BD"/>
      </patternFill>
    </fill>
    <fill>
      <patternFill patternType="solid">
        <fgColor rgb="FF217346"/>
        <bgColor rgb="FF1A5C37"/>
      </patternFill>
    </fill>
    <fill>
      <patternFill patternType="solid">
        <fgColor rgb="FFC9A84C"/>
        <bgColor rgb="FF9BBB59"/>
      </patternFill>
    </fill>
    <fill>
      <patternFill patternType="solid">
        <fgColor rgb="FFD9D9D9"/>
        <bgColor rgb="FFD6E8F7"/>
      </patternFill>
    </fill>
    <fill>
      <patternFill patternType="solid">
        <fgColor rgb="FFFDECEA"/>
        <bgColor rgb="FFF5F5F5"/>
      </patternFill>
    </fill>
    <fill>
      <patternFill patternType="solid">
        <fgColor rgb="FF8B4513"/>
        <bgColor rgb="FF922B21"/>
      </patternFill>
    </fill>
    <fill>
      <patternFill patternType="solid">
        <fgColor rgb="FF1A5C37"/>
        <bgColor rgb="FF217346"/>
      </patternFill>
    </fill>
    <fill>
      <patternFill patternType="solid">
        <fgColor rgb="FF6B3410"/>
        <bgColor rgb="FF8B4513"/>
      </patternFill>
    </fill>
    <fill>
      <patternFill patternType="solid">
        <fgColor theme="1" tint="0.499984740745262"/>
        <bgColor rgb="FFF9F9F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166" fontId="12" fillId="12" borderId="0" xfId="0" applyNumberFormat="1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11" borderId="0" xfId="0" applyFont="1" applyFill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0" fontId="9" fillId="10" borderId="0" xfId="0" applyFont="1" applyFill="1" applyAlignment="1">
      <alignment vertical="top" wrapText="1"/>
    </xf>
    <xf numFmtId="0" fontId="7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 wrapText="1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right"/>
    </xf>
    <xf numFmtId="0" fontId="6" fillId="9" borderId="1" xfId="0" applyFont="1" applyFill="1" applyBorder="1"/>
    <xf numFmtId="0" fontId="6" fillId="9" borderId="1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right" vertical="center"/>
    </xf>
    <xf numFmtId="2" fontId="6" fillId="6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right" vertical="center"/>
    </xf>
    <xf numFmtId="2" fontId="6" fillId="3" borderId="1" xfId="0" applyNumberFormat="1" applyFont="1" applyFill="1" applyBorder="1" applyAlignment="1">
      <alignment horizontal="right" vertical="center"/>
    </xf>
    <xf numFmtId="0" fontId="8" fillId="1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/>
    </xf>
    <xf numFmtId="166" fontId="6" fillId="6" borderId="1" xfId="0" applyNumberFormat="1" applyFont="1" applyFill="1" applyBorder="1" applyAlignment="1">
      <alignment horizontal="right"/>
    </xf>
    <xf numFmtId="3" fontId="6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168" fontId="6" fillId="6" borderId="1" xfId="0" applyNumberFormat="1" applyFont="1" applyFill="1" applyBorder="1" applyAlignment="1">
      <alignment horizontal="right"/>
    </xf>
    <xf numFmtId="2" fontId="6" fillId="6" borderId="1" xfId="0" applyNumberFormat="1" applyFont="1" applyFill="1" applyBorder="1" applyAlignment="1">
      <alignment horizontal="right"/>
    </xf>
    <xf numFmtId="1" fontId="6" fillId="6" borderId="1" xfId="0" applyNumberFormat="1" applyFont="1" applyFill="1" applyBorder="1" applyAlignment="1">
      <alignment horizontal="right"/>
    </xf>
    <xf numFmtId="0" fontId="13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right"/>
    </xf>
    <xf numFmtId="3" fontId="6" fillId="9" borderId="1" xfId="0" applyNumberFormat="1" applyFont="1" applyFill="1" applyBorder="1" applyAlignment="1">
      <alignment horizontal="right"/>
    </xf>
    <xf numFmtId="165" fontId="6" fillId="9" borderId="1" xfId="0" applyNumberFormat="1" applyFont="1" applyFill="1" applyBorder="1" applyAlignment="1">
      <alignment horizontal="right"/>
    </xf>
    <xf numFmtId="168" fontId="6" fillId="9" borderId="1" xfId="0" applyNumberFormat="1" applyFont="1" applyFill="1" applyBorder="1" applyAlignment="1">
      <alignment horizontal="right"/>
    </xf>
    <xf numFmtId="2" fontId="6" fillId="9" borderId="1" xfId="0" applyNumberFormat="1" applyFont="1" applyFill="1" applyBorder="1" applyAlignment="1">
      <alignment horizontal="right"/>
    </xf>
    <xf numFmtId="1" fontId="6" fillId="9" borderId="1" xfId="0" applyNumberFormat="1" applyFont="1" applyFill="1" applyBorder="1" applyAlignment="1">
      <alignment horizontal="right"/>
    </xf>
    <xf numFmtId="0" fontId="13" fillId="15" borderId="1" xfId="0" applyFont="1" applyFill="1" applyBorder="1" applyAlignment="1">
      <alignment horizontal="left" vertical="center"/>
    </xf>
    <xf numFmtId="166" fontId="14" fillId="15" borderId="1" xfId="0" applyNumberFormat="1" applyFont="1" applyFill="1" applyBorder="1" applyAlignment="1">
      <alignment horizontal="right"/>
    </xf>
    <xf numFmtId="3" fontId="14" fillId="15" borderId="1" xfId="0" applyNumberFormat="1" applyFont="1" applyFill="1" applyBorder="1" applyAlignment="1">
      <alignment horizontal="right"/>
    </xf>
    <xf numFmtId="165" fontId="14" fillId="15" borderId="1" xfId="0" applyNumberFormat="1" applyFont="1" applyFill="1" applyBorder="1" applyAlignment="1">
      <alignment horizontal="right"/>
    </xf>
    <xf numFmtId="168" fontId="14" fillId="15" borderId="1" xfId="0" applyNumberFormat="1" applyFont="1" applyFill="1" applyBorder="1" applyAlignment="1">
      <alignment horizontal="right"/>
    </xf>
    <xf numFmtId="0" fontId="13" fillId="11" borderId="1" xfId="0" applyFont="1" applyFill="1" applyBorder="1" applyAlignment="1">
      <alignment horizontal="left" vertical="center"/>
    </xf>
    <xf numFmtId="166" fontId="6" fillId="11" borderId="1" xfId="0" applyNumberFormat="1" applyFont="1" applyFill="1" applyBorder="1" applyAlignment="1">
      <alignment horizontal="right"/>
    </xf>
    <xf numFmtId="3" fontId="6" fillId="11" borderId="1" xfId="0" applyNumberFormat="1" applyFont="1" applyFill="1" applyBorder="1" applyAlignment="1">
      <alignment horizontal="right"/>
    </xf>
    <xf numFmtId="165" fontId="6" fillId="11" borderId="1" xfId="0" applyNumberFormat="1" applyFont="1" applyFill="1" applyBorder="1" applyAlignment="1">
      <alignment horizontal="right"/>
    </xf>
    <xf numFmtId="168" fontId="6" fillId="11" borderId="1" xfId="0" applyNumberFormat="1" applyFont="1" applyFill="1" applyBorder="1" applyAlignment="1">
      <alignment horizontal="right"/>
    </xf>
    <xf numFmtId="0" fontId="13" fillId="10" borderId="1" xfId="0" applyFont="1" applyFill="1" applyBorder="1" applyAlignment="1">
      <alignment horizontal="left" vertical="center"/>
    </xf>
    <xf numFmtId="166" fontId="6" fillId="10" borderId="1" xfId="0" applyNumberFormat="1" applyFont="1" applyFill="1" applyBorder="1" applyAlignment="1">
      <alignment horizontal="right"/>
    </xf>
    <xf numFmtId="3" fontId="6" fillId="10" borderId="1" xfId="0" applyNumberFormat="1" applyFont="1" applyFill="1" applyBorder="1" applyAlignment="1">
      <alignment horizontal="right"/>
    </xf>
    <xf numFmtId="165" fontId="6" fillId="10" borderId="1" xfId="0" applyNumberFormat="1" applyFont="1" applyFill="1" applyBorder="1" applyAlignment="1">
      <alignment horizontal="right"/>
    </xf>
    <xf numFmtId="168" fontId="6" fillId="10" borderId="1" xfId="0" applyNumberFormat="1" applyFont="1" applyFill="1" applyBorder="1" applyAlignment="1">
      <alignment horizontal="right"/>
    </xf>
    <xf numFmtId="0" fontId="13" fillId="16" borderId="1" xfId="0" applyFont="1" applyFill="1" applyBorder="1" applyAlignment="1">
      <alignment horizontal="left" vertical="center"/>
    </xf>
    <xf numFmtId="166" fontId="6" fillId="16" borderId="1" xfId="0" applyNumberFormat="1" applyFont="1" applyFill="1" applyBorder="1" applyAlignment="1">
      <alignment horizontal="right"/>
    </xf>
    <xf numFmtId="3" fontId="6" fillId="16" borderId="1" xfId="0" applyNumberFormat="1" applyFont="1" applyFill="1" applyBorder="1" applyAlignment="1">
      <alignment horizontal="right"/>
    </xf>
    <xf numFmtId="165" fontId="6" fillId="16" borderId="1" xfId="0" applyNumberFormat="1" applyFont="1" applyFill="1" applyBorder="1" applyAlignment="1">
      <alignment horizontal="right"/>
    </xf>
    <xf numFmtId="168" fontId="6" fillId="16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left" vertical="center"/>
    </xf>
    <xf numFmtId="1" fontId="6" fillId="6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left" vertical="center"/>
    </xf>
    <xf numFmtId="1" fontId="6" fillId="9" borderId="1" xfId="0" applyNumberFormat="1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right"/>
    </xf>
    <xf numFmtId="3" fontId="6" fillId="11" borderId="1" xfId="0" applyNumberFormat="1" applyFont="1" applyFill="1" applyBorder="1" applyAlignment="1">
      <alignment horizontal="center"/>
    </xf>
    <xf numFmtId="3" fontId="14" fillId="5" borderId="1" xfId="0" applyNumberFormat="1" applyFont="1" applyFill="1" applyBorder="1" applyAlignment="1">
      <alignment horizontal="center"/>
    </xf>
    <xf numFmtId="3" fontId="6" fillId="10" borderId="1" xfId="0" applyNumberFormat="1" applyFont="1" applyFill="1" applyBorder="1" applyAlignment="1">
      <alignment horizontal="center"/>
    </xf>
    <xf numFmtId="3" fontId="6" fillId="16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6" fillId="0" borderId="0" xfId="0" applyFont="1"/>
    <xf numFmtId="0" fontId="13" fillId="3" borderId="1" xfId="0" applyFont="1" applyFill="1" applyBorder="1" applyAlignment="1">
      <alignment horizontal="left" vertical="center"/>
    </xf>
    <xf numFmtId="166" fontId="6" fillId="3" borderId="1" xfId="0" applyNumberFormat="1" applyFont="1" applyFill="1" applyBorder="1" applyAlignment="1">
      <alignment horizontal="right"/>
    </xf>
    <xf numFmtId="3" fontId="6" fillId="3" borderId="1" xfId="0" applyNumberFormat="1" applyFont="1" applyFill="1" applyBorder="1" applyAlignment="1">
      <alignment horizontal="right"/>
    </xf>
    <xf numFmtId="2" fontId="6" fillId="3" borderId="1" xfId="0" applyNumberFormat="1" applyFont="1" applyFill="1" applyBorder="1" applyAlignment="1">
      <alignment horizontal="right"/>
    </xf>
    <xf numFmtId="3" fontId="12" fillId="4" borderId="0" xfId="0" applyNumberFormat="1" applyFont="1" applyFill="1" applyAlignment="1">
      <alignment horizontal="center" vertical="center"/>
    </xf>
    <xf numFmtId="166" fontId="12" fillId="13" borderId="0" xfId="0" applyNumberFormat="1" applyFont="1" applyFill="1" applyAlignment="1">
      <alignment horizontal="center" vertical="center"/>
    </xf>
    <xf numFmtId="167" fontId="12" fillId="1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 wrapText="1"/>
    </xf>
    <xf numFmtId="0" fontId="15" fillId="2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166" fontId="17" fillId="12" borderId="0" xfId="0" applyNumberFormat="1" applyFont="1" applyFill="1" applyAlignment="1">
      <alignment horizontal="center" vertical="center"/>
    </xf>
    <xf numFmtId="3" fontId="17" fillId="18" borderId="0" xfId="0" applyNumberFormat="1" applyFont="1" applyFill="1" applyAlignment="1">
      <alignment horizontal="center" vertical="center"/>
    </xf>
    <xf numFmtId="166" fontId="17" fillId="19" borderId="0" xfId="0" applyNumberFormat="1" applyFont="1" applyFill="1" applyAlignment="1">
      <alignment horizontal="center" vertical="center"/>
    </xf>
    <xf numFmtId="3" fontId="17" fillId="8" borderId="0" xfId="0" applyNumberFormat="1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 wrapText="1"/>
    </xf>
    <xf numFmtId="166" fontId="20" fillId="2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2">
    <dxf>
      <font>
        <b/>
        <sz val="9"/>
        <color rgb="FFC0392B"/>
      </font>
      <fill>
        <patternFill>
          <bgColor rgb="FFFDECEA"/>
        </patternFill>
      </fill>
    </dxf>
    <dxf>
      <font>
        <b/>
        <sz val="9"/>
        <color rgb="FF217346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7"/>
      <rgbColor rgb="FF000080"/>
      <rgbColor rgb="FF555555"/>
      <rgbColor rgb="FF800080"/>
      <rgbColor rgb="FF217346"/>
      <rgbColor rgb="FFBFBFBF"/>
      <rgbColor rgb="FF878787"/>
      <rgbColor rgb="FF9999FF"/>
      <rgbColor rgb="FFC0392B"/>
      <rgbColor rgb="FFFFF2CC"/>
      <rgbColor rgb="FFD6E8F7"/>
      <rgbColor rgb="FF660066"/>
      <rgbColor rgb="FFFF8080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B"/>
      <rgbColor rgb="FFE2EFDA"/>
      <rgbColor rgb="FFFDECEA"/>
      <rgbColor rgb="FFF5F5F5"/>
      <rgbColor rgb="FFF9F9F9"/>
      <rgbColor rgb="FFCC99FF"/>
      <rgbColor rgb="FFD9D9D9"/>
      <rgbColor rgb="FF3366FF"/>
      <rgbColor rgb="FF33CCCC"/>
      <rgbColor rgb="FF9BBB59"/>
      <rgbColor rgb="FFFFCC00"/>
      <rgbColor rgb="FFFF9900"/>
      <rgbColor rgb="FFC0504D"/>
      <rgbColor rgb="FF4F81BD"/>
      <rgbColor rgb="FFC9A84C"/>
      <rgbColor rgb="FF003366"/>
      <rgbColor rgb="FF339966"/>
      <rgbColor rgb="FF003300"/>
      <rgbColor rgb="FF6B3410"/>
      <rgbColor rgb="FF922B21"/>
      <rgbColor rgb="FF8B4513"/>
      <rgbColor rgb="FF2C3E6B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Portfolio Value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 Charts'!$B$3</c:f>
              <c:strCache>
                <c:ptCount val="1"/>
                <c:pt idx="0">
                  <c:v>Amount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Charts'!$A$4:$A$8</c:f>
              <c:strCache>
                <c:ptCount val="5"/>
                <c:pt idx="0">
                  <c:v>Downtown</c:v>
                </c:pt>
                <c:pt idx="1">
                  <c:v>Uptown</c:v>
                </c:pt>
                <c:pt idx="2">
                  <c:v>Westside</c:v>
                </c:pt>
                <c:pt idx="3">
                  <c:v>Eastgate</c:v>
                </c:pt>
                <c:pt idx="4">
                  <c:v>Northpark</c:v>
                </c:pt>
              </c:strCache>
            </c:strRef>
          </c:cat>
          <c:val>
            <c:numRef>
              <c:f>'5. Charts'!$B$4:$B$8</c:f>
              <c:numCache>
                <c:formatCode>General</c:formatCode>
                <c:ptCount val="5"/>
                <c:pt idx="0">
                  <c:v>9100452.3499999959</c:v>
                </c:pt>
                <c:pt idx="1">
                  <c:v>8389873.6099999994</c:v>
                </c:pt>
                <c:pt idx="2">
                  <c:v>9999752.620000001</c:v>
                </c:pt>
                <c:pt idx="3">
                  <c:v>11233971.91</c:v>
                </c:pt>
                <c:pt idx="4">
                  <c:v>9651719.7599999998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5-4BF2-9F58-48EEC410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13035"/>
        <c:axId val="91566429"/>
      </c:barChart>
      <c:catAx>
        <c:axId val="776130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Branch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66429"/>
        <c:crosses val="autoZero"/>
        <c:auto val="1"/>
        <c:lblAlgn val="ctr"/>
        <c:lblOffset val="100"/>
        <c:noMultiLvlLbl val="0"/>
      </c:catAx>
      <c:valAx>
        <c:axId val="91566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130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Portfolio Split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'5. Charts'!$B$11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CA3-4721-A798-402467AA352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CA3-4721-A798-402467AA352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CA3-4721-A798-402467AA352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CA3-4721-A798-402467AA352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CA3-4721-A798-402467AA352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CA3-4721-A798-402467AA3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'5. Charts'!$A$12:$A$14</c:f>
              <c:strCache>
                <c:ptCount val="3"/>
                <c:pt idx="0">
                  <c:v>Deposits</c:v>
                </c:pt>
                <c:pt idx="1">
                  <c:v>Loans</c:v>
                </c:pt>
                <c:pt idx="2">
                  <c:v>Cards</c:v>
                </c:pt>
              </c:strCache>
            </c:strRef>
          </c:cat>
          <c:val>
            <c:numRef>
              <c:f>'5. Charts'!$B$12:$B$14</c:f>
              <c:numCache>
                <c:formatCode>General</c:formatCode>
                <c:ptCount val="3"/>
                <c:pt idx="0">
                  <c:v>18786958.630000014</c:v>
                </c:pt>
                <c:pt idx="1">
                  <c:v>22992502.940000016</c:v>
                </c:pt>
                <c:pt idx="2">
                  <c:v>6596308.6799999988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A3-4721-A798-402467AA3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Portfolio Amount Trend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Charts'!$B$18</c:f>
              <c:strCache>
                <c:ptCount val="1"/>
                <c:pt idx="0">
                  <c:v>Amount ($)</c:v>
                </c:pt>
              </c:strCache>
            </c:strRef>
          </c:tx>
          <c:spPr>
            <a:ln w="24840">
              <a:solidFill>
                <a:srgbClr val="2E6DA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Charts'!$A$19:$A$30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Charts'!$B$19:$B$30</c:f>
              <c:numCache>
                <c:formatCode>General</c:formatCode>
                <c:ptCount val="12"/>
                <c:pt idx="0">
                  <c:v>3822198.3299999991</c:v>
                </c:pt>
                <c:pt idx="1">
                  <c:v>4373262.55</c:v>
                </c:pt>
                <c:pt idx="2">
                  <c:v>3887528.8300000005</c:v>
                </c:pt>
                <c:pt idx="3">
                  <c:v>5167423.5200000005</c:v>
                </c:pt>
                <c:pt idx="4">
                  <c:v>3562507.42</c:v>
                </c:pt>
                <c:pt idx="5">
                  <c:v>3995084.7099999995</c:v>
                </c:pt>
                <c:pt idx="6">
                  <c:v>4022045.27</c:v>
                </c:pt>
                <c:pt idx="7">
                  <c:v>4127197.1599999997</c:v>
                </c:pt>
                <c:pt idx="8">
                  <c:v>4245862.22</c:v>
                </c:pt>
                <c:pt idx="9">
                  <c:v>3266373.7399999988</c:v>
                </c:pt>
                <c:pt idx="10">
                  <c:v>4422800.04</c:v>
                </c:pt>
                <c:pt idx="11">
                  <c:v>3483486.4599999995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9B-4EA2-8E59-022D2441F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951601"/>
        <c:axId val="1230802"/>
      </c:lineChart>
      <c:catAx>
        <c:axId val="599516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30802"/>
        <c:crosses val="autoZero"/>
        <c:auto val="1"/>
        <c:lblAlgn val="ctr"/>
        <c:lblOffset val="100"/>
        <c:noMultiLvlLbl val="0"/>
      </c:catAx>
      <c:valAx>
        <c:axId val="12308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9516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Portfolio Value by Risk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'5. Charts'!$B$33</c:f>
              <c:strCache>
                <c:ptCount val="1"/>
                <c:pt idx="0">
                  <c:v>Amount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'5. Charts'!$A$34:$A$36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'5. Charts'!$B$34:$B$36</c:f>
              <c:numCache>
                <c:formatCode>General</c:formatCode>
                <c:ptCount val="3"/>
                <c:pt idx="0">
                  <c:v>17532902.690000005</c:v>
                </c:pt>
                <c:pt idx="1">
                  <c:v>18209025.890000012</c:v>
                </c:pt>
                <c:pt idx="2">
                  <c:v>12633841.670000004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A-4070-A660-0C6697C1A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84835"/>
        <c:axId val="78197806"/>
      </c:barChart>
      <c:catAx>
        <c:axId val="400848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197806"/>
        <c:crosses val="autoZero"/>
        <c:auto val="1"/>
        <c:lblAlgn val="ctr"/>
        <c:lblOffset val="100"/>
        <c:noMultiLvlLbl val="0"/>
      </c:catAx>
      <c:valAx>
        <c:axId val="781978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Risk Level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0848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12</xdr:col>
      <xdr:colOff>255600</xdr:colOff>
      <xdr:row>24</xdr:row>
      <xdr:rowOff>128160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</xdr:row>
      <xdr:rowOff>0</xdr:rowOff>
    </xdr:from>
    <xdr:to>
      <xdr:col>21</xdr:col>
      <xdr:colOff>147240</xdr:colOff>
      <xdr:row>24</xdr:row>
      <xdr:rowOff>128160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612322</xdr:colOff>
      <xdr:row>25</xdr:row>
      <xdr:rowOff>68036</xdr:rowOff>
    </xdr:from>
    <xdr:to>
      <xdr:col>13</xdr:col>
      <xdr:colOff>357516</xdr:colOff>
      <xdr:row>48</xdr:row>
      <xdr:rowOff>67287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435429</xdr:colOff>
      <xdr:row>25</xdr:row>
      <xdr:rowOff>95249</xdr:rowOff>
    </xdr:from>
    <xdr:to>
      <xdr:col>21</xdr:col>
      <xdr:colOff>582669</xdr:colOff>
      <xdr:row>48</xdr:row>
      <xdr:rowOff>61230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topLeftCell="A49" zoomScaleNormal="100" workbookViewId="0">
      <selection sqref="A1:D1"/>
    </sheetView>
  </sheetViews>
  <sheetFormatPr defaultColWidth="8.6640625" defaultRowHeight="14.25" x14ac:dyDescent="0.45"/>
  <cols>
    <col min="1" max="1" width="3" customWidth="1"/>
    <col min="2" max="2" width="30" customWidth="1"/>
    <col min="3" max="3" width="62" customWidth="1"/>
    <col min="4" max="4" width="3" customWidth="1"/>
  </cols>
  <sheetData>
    <row r="1" spans="1:4" ht="42" customHeight="1" x14ac:dyDescent="0.45">
      <c r="A1" s="14" t="s">
        <v>0</v>
      </c>
      <c r="B1" s="14"/>
      <c r="C1" s="14"/>
      <c r="D1" s="14"/>
    </row>
    <row r="2" spans="1:4" ht="30" customHeight="1" x14ac:dyDescent="0.45">
      <c r="B2" s="13" t="s">
        <v>1</v>
      </c>
      <c r="C2" s="13"/>
    </row>
    <row r="3" spans="1:4" ht="25.5" customHeight="1" x14ac:dyDescent="0.45">
      <c r="B3" s="12" t="s">
        <v>2</v>
      </c>
      <c r="C3" s="12"/>
    </row>
    <row r="4" spans="1:4" ht="18" customHeight="1" x14ac:dyDescent="0.45">
      <c r="B4" s="15" t="s">
        <v>3</v>
      </c>
      <c r="C4" s="16" t="s">
        <v>4</v>
      </c>
    </row>
    <row r="5" spans="1:4" ht="18" customHeight="1" x14ac:dyDescent="0.45">
      <c r="B5" s="15" t="s">
        <v>5</v>
      </c>
      <c r="C5" s="17" t="s">
        <v>6</v>
      </c>
    </row>
    <row r="6" spans="1:4" ht="18" customHeight="1" x14ac:dyDescent="0.45">
      <c r="B6" s="15" t="s">
        <v>7</v>
      </c>
      <c r="C6" s="16" t="s">
        <v>8</v>
      </c>
    </row>
    <row r="7" spans="1:4" ht="18" customHeight="1" x14ac:dyDescent="0.45">
      <c r="B7" s="15" t="s">
        <v>9</v>
      </c>
      <c r="C7" s="17" t="s">
        <v>10</v>
      </c>
    </row>
    <row r="8" spans="1:4" ht="7.5" customHeight="1" x14ac:dyDescent="0.45"/>
    <row r="9" spans="1:4" ht="25.5" customHeight="1" x14ac:dyDescent="0.45">
      <c r="B9" s="12" t="s">
        <v>11</v>
      </c>
      <c r="C9" s="12"/>
    </row>
    <row r="10" spans="1:4" ht="18" customHeight="1" x14ac:dyDescent="0.45">
      <c r="B10" s="15" t="s">
        <v>12</v>
      </c>
      <c r="C10" s="16" t="s">
        <v>13</v>
      </c>
    </row>
    <row r="11" spans="1:4" ht="18" customHeight="1" x14ac:dyDescent="0.45">
      <c r="B11" s="15" t="s">
        <v>14</v>
      </c>
      <c r="C11" s="17" t="s">
        <v>15</v>
      </c>
    </row>
    <row r="12" spans="1:4" ht="18" customHeight="1" x14ac:dyDescent="0.45">
      <c r="B12" s="15" t="s">
        <v>16</v>
      </c>
      <c r="C12" s="16" t="s">
        <v>17</v>
      </c>
    </row>
    <row r="13" spans="1:4" ht="7.5" customHeight="1" x14ac:dyDescent="0.45"/>
    <row r="14" spans="1:4" ht="25.5" customHeight="1" x14ac:dyDescent="0.45">
      <c r="B14" s="12" t="s">
        <v>18</v>
      </c>
      <c r="C14" s="12"/>
    </row>
    <row r="15" spans="1:4" ht="18" customHeight="1" x14ac:dyDescent="0.45">
      <c r="B15" s="15" t="s">
        <v>19</v>
      </c>
      <c r="C15" s="17" t="s">
        <v>20</v>
      </c>
    </row>
    <row r="16" spans="1:4" ht="18" customHeight="1" x14ac:dyDescent="0.45">
      <c r="B16" s="15" t="s">
        <v>21</v>
      </c>
      <c r="C16" s="16" t="s">
        <v>22</v>
      </c>
    </row>
    <row r="17" spans="2:3" ht="18" customHeight="1" x14ac:dyDescent="0.45">
      <c r="B17" s="15" t="s">
        <v>23</v>
      </c>
      <c r="C17" s="17" t="s">
        <v>24</v>
      </c>
    </row>
    <row r="18" spans="2:3" ht="18" customHeight="1" x14ac:dyDescent="0.45">
      <c r="B18" s="15" t="s">
        <v>25</v>
      </c>
      <c r="C18" s="16" t="s">
        <v>26</v>
      </c>
    </row>
    <row r="19" spans="2:3" ht="18" customHeight="1" x14ac:dyDescent="0.45">
      <c r="B19" s="15" t="s">
        <v>27</v>
      </c>
      <c r="C19" s="17" t="s">
        <v>28</v>
      </c>
    </row>
    <row r="20" spans="2:3" ht="18" customHeight="1" x14ac:dyDescent="0.45">
      <c r="B20" s="15" t="s">
        <v>29</v>
      </c>
      <c r="C20" s="16" t="s">
        <v>30</v>
      </c>
    </row>
    <row r="21" spans="2:3" ht="7.5" customHeight="1" x14ac:dyDescent="0.45"/>
    <row r="22" spans="2:3" ht="25.5" customHeight="1" x14ac:dyDescent="0.45">
      <c r="B22" s="12" t="s">
        <v>31</v>
      </c>
      <c r="C22" s="12"/>
    </row>
    <row r="23" spans="2:3" ht="18" customHeight="1" x14ac:dyDescent="0.45">
      <c r="B23" s="15" t="s">
        <v>32</v>
      </c>
      <c r="C23" s="17" t="s">
        <v>33</v>
      </c>
    </row>
    <row r="24" spans="2:3" ht="18" customHeight="1" x14ac:dyDescent="0.45">
      <c r="B24" s="15" t="s">
        <v>34</v>
      </c>
      <c r="C24" s="16" t="s">
        <v>35</v>
      </c>
    </row>
    <row r="25" spans="2:3" ht="18" customHeight="1" x14ac:dyDescent="0.45">
      <c r="B25" s="15" t="s">
        <v>36</v>
      </c>
      <c r="C25" s="17" t="s">
        <v>37</v>
      </c>
    </row>
    <row r="26" spans="2:3" ht="18" customHeight="1" x14ac:dyDescent="0.45">
      <c r="B26" s="15" t="s">
        <v>38</v>
      </c>
      <c r="C26" s="16" t="s">
        <v>39</v>
      </c>
    </row>
    <row r="27" spans="2:3" ht="18" customHeight="1" x14ac:dyDescent="0.45">
      <c r="B27" s="15" t="s">
        <v>40</v>
      </c>
      <c r="C27" s="17" t="s">
        <v>41</v>
      </c>
    </row>
    <row r="28" spans="2:3" ht="7.5" customHeight="1" x14ac:dyDescent="0.45"/>
    <row r="29" spans="2:3" ht="25.5" customHeight="1" x14ac:dyDescent="0.45">
      <c r="B29" s="12" t="s">
        <v>42</v>
      </c>
      <c r="C29" s="12"/>
    </row>
    <row r="30" spans="2:3" ht="18" customHeight="1" x14ac:dyDescent="0.45">
      <c r="B30" s="15" t="s">
        <v>43</v>
      </c>
      <c r="C30" s="16" t="s">
        <v>44</v>
      </c>
    </row>
    <row r="31" spans="2:3" ht="18" customHeight="1" x14ac:dyDescent="0.45">
      <c r="B31" s="15" t="s">
        <v>45</v>
      </c>
      <c r="C31" s="18" t="s">
        <v>46</v>
      </c>
    </row>
    <row r="32" spans="2:3" ht="18" customHeight="1" x14ac:dyDescent="0.45">
      <c r="B32" s="15" t="s">
        <v>47</v>
      </c>
      <c r="C32" s="16" t="s">
        <v>48</v>
      </c>
    </row>
    <row r="33" spans="2:3" ht="18" customHeight="1" x14ac:dyDescent="0.45">
      <c r="B33" s="15" t="s">
        <v>49</v>
      </c>
      <c r="C33" s="17" t="s">
        <v>50</v>
      </c>
    </row>
    <row r="34" spans="2:3" ht="7.5" customHeight="1" x14ac:dyDescent="0.45"/>
    <row r="35" spans="2:3" ht="25.5" customHeight="1" x14ac:dyDescent="0.45">
      <c r="B35" s="12" t="s">
        <v>51</v>
      </c>
      <c r="C35" s="12"/>
    </row>
    <row r="36" spans="2:3" ht="18" customHeight="1" x14ac:dyDescent="0.45">
      <c r="B36" s="15" t="s">
        <v>52</v>
      </c>
      <c r="C36" s="16" t="s">
        <v>53</v>
      </c>
    </row>
    <row r="37" spans="2:3" ht="18" customHeight="1" x14ac:dyDescent="0.45">
      <c r="B37" s="15" t="s">
        <v>54</v>
      </c>
      <c r="C37" s="17" t="s">
        <v>55</v>
      </c>
    </row>
    <row r="38" spans="2:3" ht="18" customHeight="1" x14ac:dyDescent="0.45">
      <c r="B38" s="15" t="s">
        <v>56</v>
      </c>
      <c r="C38" s="16" t="s">
        <v>57</v>
      </c>
    </row>
    <row r="39" spans="2:3" ht="18" customHeight="1" x14ac:dyDescent="0.45">
      <c r="B39" s="15" t="s">
        <v>58</v>
      </c>
      <c r="C39" s="17" t="s">
        <v>59</v>
      </c>
    </row>
    <row r="40" spans="2:3" ht="18" customHeight="1" x14ac:dyDescent="0.45">
      <c r="B40" s="15" t="s">
        <v>60</v>
      </c>
      <c r="C40" s="16" t="s">
        <v>61</v>
      </c>
    </row>
    <row r="41" spans="2:3" ht="7.5" customHeight="1" x14ac:dyDescent="0.45"/>
    <row r="42" spans="2:3" ht="25.5" customHeight="1" x14ac:dyDescent="0.45">
      <c r="B42" s="12" t="s">
        <v>62</v>
      </c>
      <c r="C42" s="12"/>
    </row>
    <row r="43" spans="2:3" ht="18" customHeight="1" x14ac:dyDescent="0.45">
      <c r="B43" s="15" t="s">
        <v>63</v>
      </c>
      <c r="C43" s="17" t="s">
        <v>64</v>
      </c>
    </row>
    <row r="44" spans="2:3" ht="18" customHeight="1" x14ac:dyDescent="0.45">
      <c r="B44" s="15" t="s">
        <v>65</v>
      </c>
      <c r="C44" s="16" t="s">
        <v>66</v>
      </c>
    </row>
    <row r="45" spans="2:3" ht="18" customHeight="1" x14ac:dyDescent="0.45">
      <c r="B45" s="15" t="s">
        <v>67</v>
      </c>
      <c r="C45" s="17" t="s">
        <v>68</v>
      </c>
    </row>
    <row r="46" spans="2:3" ht="18" customHeight="1" x14ac:dyDescent="0.45">
      <c r="B46" s="15" t="s">
        <v>69</v>
      </c>
      <c r="C46" s="16" t="s">
        <v>70</v>
      </c>
    </row>
    <row r="47" spans="2:3" ht="7.5" customHeight="1" x14ac:dyDescent="0.45"/>
    <row r="48" spans="2:3" ht="25.5" customHeight="1" x14ac:dyDescent="0.45">
      <c r="B48" s="12" t="s">
        <v>71</v>
      </c>
      <c r="C48" s="12"/>
    </row>
    <row r="49" spans="2:3" ht="18" customHeight="1" x14ac:dyDescent="0.45">
      <c r="B49" s="15" t="s">
        <v>72</v>
      </c>
      <c r="C49" s="17" t="s">
        <v>73</v>
      </c>
    </row>
    <row r="50" spans="2:3" ht="18" customHeight="1" x14ac:dyDescent="0.45">
      <c r="B50" s="15" t="s">
        <v>74</v>
      </c>
      <c r="C50" s="16" t="s">
        <v>75</v>
      </c>
    </row>
    <row r="51" spans="2:3" ht="18" customHeight="1" x14ac:dyDescent="0.45">
      <c r="B51" s="15" t="s">
        <v>76</v>
      </c>
      <c r="C51" s="17" t="s">
        <v>77</v>
      </c>
    </row>
    <row r="52" spans="2:3" ht="18" customHeight="1" x14ac:dyDescent="0.45">
      <c r="B52" s="15" t="s">
        <v>78</v>
      </c>
      <c r="C52" s="16" t="s">
        <v>79</v>
      </c>
    </row>
    <row r="53" spans="2:3" ht="18" customHeight="1" x14ac:dyDescent="0.45">
      <c r="B53" s="15" t="s">
        <v>80</v>
      </c>
      <c r="C53" s="17" t="s">
        <v>81</v>
      </c>
    </row>
    <row r="54" spans="2:3" ht="7.5" customHeight="1" x14ac:dyDescent="0.45"/>
    <row r="55" spans="2:3" ht="25.5" customHeight="1" x14ac:dyDescent="0.45">
      <c r="B55" s="12" t="s">
        <v>82</v>
      </c>
      <c r="C55" s="12"/>
    </row>
    <row r="56" spans="2:3" ht="18" customHeight="1" x14ac:dyDescent="0.45">
      <c r="B56" s="15" t="s">
        <v>83</v>
      </c>
      <c r="C56" s="16" t="s">
        <v>84</v>
      </c>
    </row>
    <row r="57" spans="2:3" ht="18" customHeight="1" x14ac:dyDescent="0.45">
      <c r="B57" s="15" t="s">
        <v>85</v>
      </c>
      <c r="C57" s="17" t="s">
        <v>86</v>
      </c>
    </row>
    <row r="58" spans="2:3" ht="18" customHeight="1" x14ac:dyDescent="0.45">
      <c r="B58" s="15" t="s">
        <v>87</v>
      </c>
      <c r="C58" s="16" t="s">
        <v>88</v>
      </c>
    </row>
    <row r="59" spans="2:3" ht="18" customHeight="1" x14ac:dyDescent="0.45">
      <c r="B59" s="15" t="s">
        <v>89</v>
      </c>
      <c r="C59" s="17" t="s">
        <v>90</v>
      </c>
    </row>
    <row r="60" spans="2:3" ht="18" customHeight="1" x14ac:dyDescent="0.45">
      <c r="B60" s="15" t="s">
        <v>91</v>
      </c>
      <c r="C60" s="16" t="s">
        <v>92</v>
      </c>
    </row>
  </sheetData>
  <mergeCells count="11">
    <mergeCell ref="B55:C55"/>
    <mergeCell ref="B22:C22"/>
    <mergeCell ref="B29:C29"/>
    <mergeCell ref="B35:C35"/>
    <mergeCell ref="B42:C42"/>
    <mergeCell ref="B48:C48"/>
    <mergeCell ref="A1:D1"/>
    <mergeCell ref="B2:C2"/>
    <mergeCell ref="B3:C3"/>
    <mergeCell ref="B9:C9"/>
    <mergeCell ref="B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8"/>
  <sheetViews>
    <sheetView zoomScaleNormal="100" workbookViewId="0">
      <pane ySplit="2" topLeftCell="A3" activePane="bottomLeft" state="frozen"/>
      <selection pane="bottomLeft" activeCell="F6" sqref="F6"/>
    </sheetView>
  </sheetViews>
  <sheetFormatPr defaultColWidth="8.6640625" defaultRowHeight="14.25" x14ac:dyDescent="0.45"/>
  <cols>
    <col min="1" max="1" width="16" customWidth="1"/>
    <col min="2" max="3" width="13" customWidth="1"/>
    <col min="4" max="4" width="20" customWidth="1"/>
    <col min="5" max="5" width="12" customWidth="1"/>
    <col min="6" max="6" width="22" customWidth="1"/>
    <col min="7" max="8" width="11" customWidth="1"/>
    <col min="9" max="9" width="14" customWidth="1"/>
    <col min="10" max="10" width="16" customWidth="1"/>
    <col min="11" max="11" width="15" customWidth="1"/>
    <col min="12" max="12" width="14" customWidth="1"/>
    <col min="13" max="13" width="18" customWidth="1"/>
  </cols>
  <sheetData>
    <row r="1" spans="1:13" ht="36" customHeight="1" x14ac:dyDescent="0.45">
      <c r="A1" s="11" t="s">
        <v>93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75" customHeight="1" x14ac:dyDescent="0.45">
      <c r="A2" s="19" t="s">
        <v>94</v>
      </c>
      <c r="B2" s="19" t="s">
        <v>95</v>
      </c>
      <c r="C2" s="19" t="s">
        <v>96</v>
      </c>
      <c r="D2" s="19" t="s">
        <v>97</v>
      </c>
      <c r="E2" s="19" t="s">
        <v>98</v>
      </c>
      <c r="F2" s="19" t="s">
        <v>99</v>
      </c>
      <c r="G2" s="19" t="s">
        <v>100</v>
      </c>
      <c r="H2" s="19" t="s">
        <v>101</v>
      </c>
      <c r="I2" s="19" t="s">
        <v>102</v>
      </c>
      <c r="J2" s="19" t="s">
        <v>103</v>
      </c>
      <c r="K2" s="19" t="s">
        <v>104</v>
      </c>
      <c r="L2" s="19" t="s">
        <v>105</v>
      </c>
      <c r="M2" s="19" t="s">
        <v>106</v>
      </c>
    </row>
    <row r="3" spans="1:13" ht="16.5" customHeight="1" x14ac:dyDescent="0.45">
      <c r="A3" s="20" t="s">
        <v>107</v>
      </c>
      <c r="B3" s="20" t="s">
        <v>108</v>
      </c>
      <c r="C3" s="20" t="s">
        <v>109</v>
      </c>
      <c r="D3" s="20" t="s">
        <v>110</v>
      </c>
      <c r="E3" s="20" t="s">
        <v>111</v>
      </c>
      <c r="F3" s="20" t="s">
        <v>112</v>
      </c>
      <c r="G3" s="20" t="s">
        <v>113</v>
      </c>
      <c r="H3" s="20" t="s">
        <v>114</v>
      </c>
      <c r="I3" s="21">
        <v>33744.480000000003</v>
      </c>
      <c r="J3" s="21">
        <v>3.5</v>
      </c>
      <c r="K3" s="20">
        <v>120</v>
      </c>
      <c r="L3" s="20">
        <v>55</v>
      </c>
      <c r="M3" s="20" t="s">
        <v>115</v>
      </c>
    </row>
    <row r="4" spans="1:13" ht="16.5" customHeight="1" x14ac:dyDescent="0.45">
      <c r="A4" s="22" t="s">
        <v>116</v>
      </c>
      <c r="B4" s="22" t="s">
        <v>117</v>
      </c>
      <c r="C4" s="22" t="s">
        <v>109</v>
      </c>
      <c r="D4" s="22" t="s">
        <v>118</v>
      </c>
      <c r="E4" s="22" t="s">
        <v>111</v>
      </c>
      <c r="F4" s="22" t="s">
        <v>119</v>
      </c>
      <c r="G4" s="22" t="s">
        <v>120</v>
      </c>
      <c r="H4" s="22" t="s">
        <v>121</v>
      </c>
      <c r="I4" s="23">
        <v>38493</v>
      </c>
      <c r="J4" s="23">
        <v>10.1</v>
      </c>
      <c r="K4" s="22">
        <v>360</v>
      </c>
      <c r="L4" s="22">
        <v>43</v>
      </c>
      <c r="M4" s="22" t="s">
        <v>115</v>
      </c>
    </row>
    <row r="5" spans="1:13" ht="16.5" customHeight="1" x14ac:dyDescent="0.45">
      <c r="A5" s="20" t="s">
        <v>122</v>
      </c>
      <c r="B5" s="20" t="s">
        <v>123</v>
      </c>
      <c r="C5" s="20" t="s">
        <v>124</v>
      </c>
      <c r="D5" s="20" t="s">
        <v>110</v>
      </c>
      <c r="E5" s="20" t="s">
        <v>111</v>
      </c>
      <c r="F5" s="20" t="s">
        <v>125</v>
      </c>
      <c r="G5" s="20" t="s">
        <v>113</v>
      </c>
      <c r="H5" s="20" t="s">
        <v>126</v>
      </c>
      <c r="I5" s="21">
        <v>51339.22</v>
      </c>
      <c r="J5" s="21">
        <v>13.88</v>
      </c>
      <c r="K5" s="20">
        <v>240</v>
      </c>
      <c r="L5" s="20">
        <v>27</v>
      </c>
      <c r="M5" s="20" t="s">
        <v>115</v>
      </c>
    </row>
    <row r="6" spans="1:13" ht="16.5" customHeight="1" x14ac:dyDescent="0.45">
      <c r="A6" s="22" t="s">
        <v>127</v>
      </c>
      <c r="B6" s="22" t="s">
        <v>128</v>
      </c>
      <c r="C6" s="22" t="s">
        <v>124</v>
      </c>
      <c r="D6" s="22" t="s">
        <v>129</v>
      </c>
      <c r="E6" s="22" t="s">
        <v>111</v>
      </c>
      <c r="F6" s="22" t="s">
        <v>112</v>
      </c>
      <c r="G6" s="22" t="s">
        <v>130</v>
      </c>
      <c r="H6" s="22" t="s">
        <v>114</v>
      </c>
      <c r="I6" s="23"/>
      <c r="J6" s="23">
        <v>13.14</v>
      </c>
      <c r="K6" s="22">
        <v>24</v>
      </c>
      <c r="L6" s="22">
        <v>54</v>
      </c>
      <c r="M6" s="22" t="s">
        <v>131</v>
      </c>
    </row>
    <row r="7" spans="1:13" ht="16.5" customHeight="1" x14ac:dyDescent="0.45">
      <c r="A7" s="20" t="s">
        <v>132</v>
      </c>
      <c r="B7" s="20" t="s">
        <v>133</v>
      </c>
      <c r="C7" s="20" t="s">
        <v>109</v>
      </c>
      <c r="D7" s="20" t="s">
        <v>134</v>
      </c>
      <c r="E7" s="20" t="s">
        <v>135</v>
      </c>
      <c r="F7" s="20" t="s">
        <v>136</v>
      </c>
      <c r="G7" s="20" t="s">
        <v>130</v>
      </c>
      <c r="H7" s="20" t="s">
        <v>114</v>
      </c>
      <c r="I7" s="21">
        <v>154539.01999999999</v>
      </c>
      <c r="J7" s="21">
        <v>6.88</v>
      </c>
      <c r="K7" s="20">
        <v>24</v>
      </c>
      <c r="L7" s="20">
        <v>55</v>
      </c>
      <c r="M7" s="20" t="s">
        <v>131</v>
      </c>
    </row>
    <row r="8" spans="1:13" ht="16.5" customHeight="1" x14ac:dyDescent="0.45">
      <c r="A8" s="22" t="s">
        <v>137</v>
      </c>
      <c r="B8" s="22" t="s">
        <v>138</v>
      </c>
      <c r="C8" s="22" t="s">
        <v>109</v>
      </c>
      <c r="D8" s="22" t="s">
        <v>139</v>
      </c>
      <c r="E8" s="22" t="s">
        <v>140</v>
      </c>
      <c r="F8" s="22" t="s">
        <v>141</v>
      </c>
      <c r="G8" s="22" t="s">
        <v>113</v>
      </c>
      <c r="H8" s="22" t="s">
        <v>114</v>
      </c>
      <c r="I8" s="23">
        <v>119297.77</v>
      </c>
      <c r="J8" s="23">
        <v>3.14</v>
      </c>
      <c r="K8" s="22">
        <v>360</v>
      </c>
      <c r="L8" s="22">
        <v>71</v>
      </c>
      <c r="M8" s="22" t="s">
        <v>131</v>
      </c>
    </row>
    <row r="9" spans="1:13" ht="16.5" customHeight="1" x14ac:dyDescent="0.45">
      <c r="A9" s="20" t="s">
        <v>142</v>
      </c>
      <c r="B9" s="20" t="s">
        <v>143</v>
      </c>
      <c r="C9" s="20" t="s">
        <v>144</v>
      </c>
      <c r="D9" s="20" t="s">
        <v>139</v>
      </c>
      <c r="E9" s="20" t="s">
        <v>140</v>
      </c>
      <c r="F9" s="20" t="s">
        <v>112</v>
      </c>
      <c r="G9" s="20" t="s">
        <v>113</v>
      </c>
      <c r="H9" s="20" t="s">
        <v>121</v>
      </c>
      <c r="I9" s="21">
        <v>220167.46</v>
      </c>
      <c r="J9" s="21">
        <v>6.17</v>
      </c>
      <c r="K9" s="20">
        <v>180</v>
      </c>
      <c r="L9" s="20">
        <v>73</v>
      </c>
      <c r="M9" s="20" t="s">
        <v>131</v>
      </c>
    </row>
    <row r="10" spans="1:13" ht="16.5" customHeight="1" x14ac:dyDescent="0.45">
      <c r="A10" s="22" t="s">
        <v>145</v>
      </c>
      <c r="B10" s="22" t="s">
        <v>146</v>
      </c>
      <c r="C10" s="22" t="s">
        <v>147</v>
      </c>
      <c r="D10" s="22" t="s">
        <v>139</v>
      </c>
      <c r="E10" s="22" t="s">
        <v>140</v>
      </c>
      <c r="F10" s="22" t="s">
        <v>125</v>
      </c>
      <c r="G10" s="22" t="s">
        <v>113</v>
      </c>
      <c r="H10" s="22" t="s">
        <v>114</v>
      </c>
      <c r="I10" s="23">
        <v>94555.08</v>
      </c>
      <c r="J10" s="23">
        <v>6.37</v>
      </c>
      <c r="K10" s="22">
        <v>120</v>
      </c>
      <c r="L10" s="22">
        <v>46</v>
      </c>
      <c r="M10" s="22" t="s">
        <v>115</v>
      </c>
    </row>
    <row r="11" spans="1:13" ht="16.5" customHeight="1" x14ac:dyDescent="0.45">
      <c r="A11" s="20" t="s">
        <v>148</v>
      </c>
      <c r="B11" s="20" t="s">
        <v>149</v>
      </c>
      <c r="C11" s="20" t="s">
        <v>124</v>
      </c>
      <c r="D11" s="20" t="s">
        <v>110</v>
      </c>
      <c r="E11" s="20" t="s">
        <v>111</v>
      </c>
      <c r="F11" s="20" t="s">
        <v>136</v>
      </c>
      <c r="G11" s="20" t="s">
        <v>113</v>
      </c>
      <c r="H11" s="20" t="s">
        <v>121</v>
      </c>
      <c r="I11" s="21">
        <v>163514.23000000001</v>
      </c>
      <c r="J11" s="21">
        <v>6.07</v>
      </c>
      <c r="K11" s="20">
        <v>60</v>
      </c>
      <c r="L11" s="20">
        <v>35</v>
      </c>
      <c r="M11" s="20" t="s">
        <v>131</v>
      </c>
    </row>
    <row r="12" spans="1:13" ht="16.5" customHeight="1" x14ac:dyDescent="0.45">
      <c r="A12" s="22" t="s">
        <v>150</v>
      </c>
      <c r="B12" s="22" t="s">
        <v>151</v>
      </c>
      <c r="C12" s="22" t="s">
        <v>109</v>
      </c>
      <c r="D12" s="22" t="s">
        <v>134</v>
      </c>
      <c r="E12" s="22" t="s">
        <v>135</v>
      </c>
      <c r="F12" s="22" t="s">
        <v>136</v>
      </c>
      <c r="G12" s="22" t="s">
        <v>113</v>
      </c>
      <c r="H12" s="22" t="s">
        <v>121</v>
      </c>
      <c r="I12" s="23">
        <v>73610.929999999993</v>
      </c>
      <c r="J12" s="23">
        <v>10.38</v>
      </c>
      <c r="K12" s="22">
        <v>60</v>
      </c>
      <c r="L12" s="22">
        <v>72</v>
      </c>
      <c r="M12" s="22" t="s">
        <v>115</v>
      </c>
    </row>
    <row r="13" spans="1:13" ht="16.5" customHeight="1" x14ac:dyDescent="0.45">
      <c r="A13" s="20" t="s">
        <v>152</v>
      </c>
      <c r="B13" s="20" t="s">
        <v>153</v>
      </c>
      <c r="C13" s="20" t="s">
        <v>124</v>
      </c>
      <c r="D13" s="20" t="s">
        <v>110</v>
      </c>
      <c r="E13" s="20" t="s">
        <v>111</v>
      </c>
      <c r="F13" s="20" t="s">
        <v>141</v>
      </c>
      <c r="G13" s="20" t="s">
        <v>113</v>
      </c>
      <c r="H13" s="20" t="s">
        <v>121</v>
      </c>
      <c r="I13" s="21">
        <v>169748.38</v>
      </c>
      <c r="J13" s="21">
        <v>12.42</v>
      </c>
      <c r="K13" s="20">
        <v>360</v>
      </c>
      <c r="L13" s="20">
        <v>64</v>
      </c>
      <c r="M13" s="20" t="s">
        <v>131</v>
      </c>
    </row>
    <row r="14" spans="1:13" ht="16.5" customHeight="1" x14ac:dyDescent="0.45">
      <c r="A14" s="22" t="s">
        <v>154</v>
      </c>
      <c r="B14" s="22" t="s">
        <v>155</v>
      </c>
      <c r="C14" s="22" t="s">
        <v>147</v>
      </c>
      <c r="D14" s="22" t="s">
        <v>156</v>
      </c>
      <c r="E14" s="22" t="s">
        <v>111</v>
      </c>
      <c r="F14" s="22" t="s">
        <v>119</v>
      </c>
      <c r="G14" s="22" t="s">
        <v>120</v>
      </c>
      <c r="H14" s="22" t="s">
        <v>114</v>
      </c>
      <c r="I14" s="23">
        <v>43328.88</v>
      </c>
      <c r="J14" s="23">
        <v>9.86</v>
      </c>
      <c r="K14" s="22">
        <v>120</v>
      </c>
      <c r="L14" s="22">
        <v>69</v>
      </c>
      <c r="M14" s="22" t="s">
        <v>115</v>
      </c>
    </row>
    <row r="15" spans="1:13" ht="16.5" customHeight="1" x14ac:dyDescent="0.45">
      <c r="A15" s="20" t="s">
        <v>157</v>
      </c>
      <c r="B15" s="20" t="s">
        <v>158</v>
      </c>
      <c r="C15" s="20" t="s">
        <v>109</v>
      </c>
      <c r="D15" s="20" t="s">
        <v>159</v>
      </c>
      <c r="E15" s="20" t="s">
        <v>135</v>
      </c>
      <c r="F15" s="20" t="s">
        <v>125</v>
      </c>
      <c r="G15" s="20" t="s">
        <v>113</v>
      </c>
      <c r="H15" s="20" t="s">
        <v>126</v>
      </c>
      <c r="I15" s="21">
        <v>130763.98</v>
      </c>
      <c r="J15" s="21">
        <v>13.42</v>
      </c>
      <c r="K15" s="20">
        <v>24</v>
      </c>
      <c r="L15" s="20">
        <v>54</v>
      </c>
      <c r="M15" s="20" t="s">
        <v>131</v>
      </c>
    </row>
    <row r="16" spans="1:13" ht="16.5" customHeight="1" x14ac:dyDescent="0.45">
      <c r="A16" s="22" t="s">
        <v>160</v>
      </c>
      <c r="B16" s="22" t="s">
        <v>161</v>
      </c>
      <c r="C16" s="22" t="s">
        <v>162</v>
      </c>
      <c r="D16" s="22" t="s">
        <v>163</v>
      </c>
      <c r="E16" s="22" t="s">
        <v>135</v>
      </c>
      <c r="F16" s="22" t="s">
        <v>141</v>
      </c>
      <c r="G16" s="22" t="s">
        <v>113</v>
      </c>
      <c r="H16" s="22" t="s">
        <v>126</v>
      </c>
      <c r="I16" s="23">
        <v>191377.88</v>
      </c>
      <c r="J16" s="23">
        <v>11.34</v>
      </c>
      <c r="K16" s="22">
        <v>36</v>
      </c>
      <c r="L16" s="22">
        <v>69</v>
      </c>
      <c r="M16" s="22" t="s">
        <v>131</v>
      </c>
    </row>
    <row r="17" spans="1:13" ht="16.5" customHeight="1" x14ac:dyDescent="0.45">
      <c r="A17" s="20" t="s">
        <v>164</v>
      </c>
      <c r="B17" s="20" t="s">
        <v>165</v>
      </c>
      <c r="C17" s="20" t="s">
        <v>147</v>
      </c>
      <c r="D17" s="20" t="s">
        <v>110</v>
      </c>
      <c r="E17" s="20" t="s">
        <v>111</v>
      </c>
      <c r="F17" s="20" t="s">
        <v>119</v>
      </c>
      <c r="G17" s="20" t="s">
        <v>113</v>
      </c>
      <c r="H17" s="20" t="s">
        <v>126</v>
      </c>
      <c r="I17" s="21">
        <v>147208.82999999999</v>
      </c>
      <c r="J17" s="21">
        <v>5.89</v>
      </c>
      <c r="K17" s="20">
        <v>12</v>
      </c>
      <c r="L17" s="20">
        <v>72</v>
      </c>
      <c r="M17" s="20" t="s">
        <v>131</v>
      </c>
    </row>
    <row r="18" spans="1:13" ht="16.5" customHeight="1" x14ac:dyDescent="0.45">
      <c r="A18" s="22" t="s">
        <v>166</v>
      </c>
      <c r="B18" s="22" t="s">
        <v>167</v>
      </c>
      <c r="C18" s="22" t="s">
        <v>144</v>
      </c>
      <c r="D18" s="22" t="s">
        <v>163</v>
      </c>
      <c r="E18" s="22" t="s">
        <v>135</v>
      </c>
      <c r="F18" s="22" t="s">
        <v>136</v>
      </c>
      <c r="G18" s="22" t="s">
        <v>113</v>
      </c>
      <c r="H18" s="22" t="s">
        <v>126</v>
      </c>
      <c r="I18" s="23">
        <v>90279.87</v>
      </c>
      <c r="J18" s="23">
        <v>4.8899999999999997</v>
      </c>
      <c r="K18" s="22">
        <v>180</v>
      </c>
      <c r="L18" s="22">
        <v>58</v>
      </c>
      <c r="M18" s="22" t="s">
        <v>115</v>
      </c>
    </row>
    <row r="19" spans="1:13" ht="16.5" customHeight="1" x14ac:dyDescent="0.45">
      <c r="A19" s="20" t="s">
        <v>168</v>
      </c>
      <c r="B19" s="20" t="s">
        <v>169</v>
      </c>
      <c r="C19" s="20" t="s">
        <v>109</v>
      </c>
      <c r="D19" s="20" t="s">
        <v>163</v>
      </c>
      <c r="E19" s="20" t="s">
        <v>135</v>
      </c>
      <c r="F19" s="20" t="s">
        <v>112</v>
      </c>
      <c r="G19" s="20" t="s">
        <v>113</v>
      </c>
      <c r="H19" s="20" t="s">
        <v>126</v>
      </c>
      <c r="I19" s="21">
        <v>131032.14</v>
      </c>
      <c r="J19" s="21">
        <v>3.82</v>
      </c>
      <c r="K19" s="20">
        <v>180</v>
      </c>
      <c r="L19" s="20">
        <v>26</v>
      </c>
      <c r="M19" s="20" t="s">
        <v>131</v>
      </c>
    </row>
    <row r="20" spans="1:13" ht="16.5" customHeight="1" x14ac:dyDescent="0.45">
      <c r="A20" s="22" t="s">
        <v>170</v>
      </c>
      <c r="B20" s="22" t="s">
        <v>171</v>
      </c>
      <c r="C20" s="22" t="s">
        <v>147</v>
      </c>
      <c r="D20" s="22" t="s">
        <v>156</v>
      </c>
      <c r="E20" s="22" t="s">
        <v>111</v>
      </c>
      <c r="F20" s="22" t="s">
        <v>136</v>
      </c>
      <c r="G20" s="22" t="s">
        <v>113</v>
      </c>
      <c r="H20" s="22" t="s">
        <v>114</v>
      </c>
      <c r="I20" s="23">
        <v>230038.56</v>
      </c>
      <c r="J20" s="23">
        <v>7.07</v>
      </c>
      <c r="K20" s="22">
        <v>6</v>
      </c>
      <c r="L20" s="22">
        <v>43</v>
      </c>
      <c r="M20" s="22" t="s">
        <v>131</v>
      </c>
    </row>
    <row r="21" spans="1:13" ht="16.5" customHeight="1" x14ac:dyDescent="0.45">
      <c r="A21" s="20" t="s">
        <v>172</v>
      </c>
      <c r="B21" s="20" t="s">
        <v>173</v>
      </c>
      <c r="C21" s="20" t="s">
        <v>147</v>
      </c>
      <c r="D21" s="20" t="s">
        <v>110</v>
      </c>
      <c r="E21" s="20" t="s">
        <v>111</v>
      </c>
      <c r="F21" s="20" t="s">
        <v>112</v>
      </c>
      <c r="G21" s="20" t="s">
        <v>120</v>
      </c>
      <c r="H21" s="20" t="s">
        <v>114</v>
      </c>
      <c r="I21" s="21">
        <v>43373.31</v>
      </c>
      <c r="J21" s="21">
        <v>5.67</v>
      </c>
      <c r="K21" s="20">
        <v>60</v>
      </c>
      <c r="L21" s="20">
        <v>26</v>
      </c>
      <c r="M21" s="20" t="s">
        <v>115</v>
      </c>
    </row>
    <row r="22" spans="1:13" ht="16.5" customHeight="1" x14ac:dyDescent="0.45">
      <c r="A22" s="22" t="s">
        <v>174</v>
      </c>
      <c r="B22" s="22" t="s">
        <v>175</v>
      </c>
      <c r="C22" s="22" t="s">
        <v>176</v>
      </c>
      <c r="D22" s="22" t="s">
        <v>134</v>
      </c>
      <c r="E22" s="22" t="s">
        <v>135</v>
      </c>
      <c r="F22" s="22" t="s">
        <v>125</v>
      </c>
      <c r="G22" s="22" t="s">
        <v>130</v>
      </c>
      <c r="H22" s="22" t="s">
        <v>114</v>
      </c>
      <c r="I22" s="23">
        <v>136558.12</v>
      </c>
      <c r="J22" s="23">
        <v>2.88</v>
      </c>
      <c r="K22" s="22">
        <v>240</v>
      </c>
      <c r="L22" s="22">
        <v>63</v>
      </c>
      <c r="M22" s="22" t="s">
        <v>131</v>
      </c>
    </row>
    <row r="23" spans="1:13" ht="16.5" customHeight="1" x14ac:dyDescent="0.45">
      <c r="A23" s="20" t="s">
        <v>177</v>
      </c>
      <c r="B23" s="20" t="s">
        <v>178</v>
      </c>
      <c r="C23" s="20" t="s">
        <v>176</v>
      </c>
      <c r="D23" s="20" t="s">
        <v>129</v>
      </c>
      <c r="E23" s="20" t="s">
        <v>111</v>
      </c>
      <c r="F23" s="20" t="s">
        <v>119</v>
      </c>
      <c r="G23" s="20" t="s">
        <v>120</v>
      </c>
      <c r="H23" s="20" t="s">
        <v>114</v>
      </c>
      <c r="I23" s="21">
        <v>156452.99</v>
      </c>
      <c r="J23" s="21">
        <v>4.66</v>
      </c>
      <c r="K23" s="20">
        <v>24</v>
      </c>
      <c r="L23" s="20">
        <v>69</v>
      </c>
      <c r="M23" s="20" t="s">
        <v>131</v>
      </c>
    </row>
    <row r="24" spans="1:13" ht="16.5" customHeight="1" x14ac:dyDescent="0.45">
      <c r="A24" s="22" t="s">
        <v>179</v>
      </c>
      <c r="B24" s="22" t="s">
        <v>180</v>
      </c>
      <c r="C24" s="22" t="s">
        <v>147</v>
      </c>
      <c r="D24" s="22" t="s">
        <v>118</v>
      </c>
      <c r="E24" s="22" t="s">
        <v>111</v>
      </c>
      <c r="F24" s="22" t="s">
        <v>136</v>
      </c>
      <c r="G24" s="22" t="s">
        <v>130</v>
      </c>
      <c r="H24" s="22" t="s">
        <v>114</v>
      </c>
      <c r="I24" s="23">
        <v>111240.32000000001</v>
      </c>
      <c r="J24" s="23">
        <v>11.62</v>
      </c>
      <c r="K24" s="22">
        <v>12</v>
      </c>
      <c r="L24" s="22">
        <v>74</v>
      </c>
      <c r="M24" s="22" t="s">
        <v>131</v>
      </c>
    </row>
    <row r="25" spans="1:13" ht="16.5" customHeight="1" x14ac:dyDescent="0.45">
      <c r="A25" s="20" t="s">
        <v>181</v>
      </c>
      <c r="B25" s="20" t="s">
        <v>182</v>
      </c>
      <c r="C25" s="20" t="s">
        <v>124</v>
      </c>
      <c r="D25" s="20" t="s">
        <v>156</v>
      </c>
      <c r="E25" s="20" t="s">
        <v>111</v>
      </c>
      <c r="F25" s="20" t="s">
        <v>141</v>
      </c>
      <c r="G25" s="20" t="s">
        <v>113</v>
      </c>
      <c r="H25" s="20" t="s">
        <v>126</v>
      </c>
      <c r="I25" s="21">
        <v>75509.09</v>
      </c>
      <c r="J25" s="21">
        <v>4.33</v>
      </c>
      <c r="K25" s="20">
        <v>6</v>
      </c>
      <c r="L25" s="20">
        <v>40</v>
      </c>
      <c r="M25" s="20" t="s">
        <v>115</v>
      </c>
    </row>
    <row r="26" spans="1:13" ht="16.5" customHeight="1" x14ac:dyDescent="0.45">
      <c r="A26" s="22" t="s">
        <v>183</v>
      </c>
      <c r="B26" s="22" t="s">
        <v>184</v>
      </c>
      <c r="C26" s="22" t="s">
        <v>147</v>
      </c>
      <c r="D26" s="22" t="s">
        <v>159</v>
      </c>
      <c r="E26" s="22" t="s">
        <v>135</v>
      </c>
      <c r="F26" s="22" t="s">
        <v>119</v>
      </c>
      <c r="G26" s="22" t="s">
        <v>113</v>
      </c>
      <c r="H26" s="22" t="s">
        <v>126</v>
      </c>
      <c r="I26" s="23">
        <v>211721.92</v>
      </c>
      <c r="J26" s="23">
        <v>10.14</v>
      </c>
      <c r="K26" s="22">
        <v>6</v>
      </c>
      <c r="L26" s="22">
        <v>46</v>
      </c>
      <c r="M26" s="22" t="s">
        <v>131</v>
      </c>
    </row>
    <row r="27" spans="1:13" ht="16.5" customHeight="1" x14ac:dyDescent="0.45">
      <c r="A27" s="20" t="s">
        <v>185</v>
      </c>
      <c r="B27" s="20" t="s">
        <v>186</v>
      </c>
      <c r="C27" s="20" t="s">
        <v>147</v>
      </c>
      <c r="D27" s="20" t="s">
        <v>139</v>
      </c>
      <c r="E27" s="20" t="s">
        <v>140</v>
      </c>
      <c r="F27" s="20" t="s">
        <v>136</v>
      </c>
      <c r="G27" s="20" t="s">
        <v>113</v>
      </c>
      <c r="H27" s="20" t="s">
        <v>126</v>
      </c>
      <c r="I27" s="21">
        <v>57343.43</v>
      </c>
      <c r="J27" s="21">
        <v>8.5299999999999994</v>
      </c>
      <c r="K27" s="20">
        <v>6</v>
      </c>
      <c r="L27" s="20">
        <v>35</v>
      </c>
      <c r="M27" s="20" t="s">
        <v>115</v>
      </c>
    </row>
    <row r="28" spans="1:13" ht="16.5" customHeight="1" x14ac:dyDescent="0.45">
      <c r="A28" s="22" t="s">
        <v>187</v>
      </c>
      <c r="B28" s="22" t="s">
        <v>188</v>
      </c>
      <c r="C28" s="22" t="s">
        <v>147</v>
      </c>
      <c r="D28" s="22" t="s">
        <v>159</v>
      </c>
      <c r="E28" s="22" t="s">
        <v>135</v>
      </c>
      <c r="F28" s="22" t="s">
        <v>112</v>
      </c>
      <c r="G28" s="22" t="s">
        <v>113</v>
      </c>
      <c r="H28" s="22" t="s">
        <v>114</v>
      </c>
      <c r="I28" s="23">
        <v>15787.27</v>
      </c>
      <c r="J28" s="23">
        <v>12.62</v>
      </c>
      <c r="K28" s="22">
        <v>24</v>
      </c>
      <c r="L28" s="22">
        <v>59</v>
      </c>
      <c r="M28" s="22" t="s">
        <v>189</v>
      </c>
    </row>
    <row r="29" spans="1:13" ht="16.5" customHeight="1" x14ac:dyDescent="0.45">
      <c r="A29" s="20" t="s">
        <v>190</v>
      </c>
      <c r="B29" s="20" t="s">
        <v>191</v>
      </c>
      <c r="C29" s="20" t="s">
        <v>109</v>
      </c>
      <c r="D29" s="20" t="s">
        <v>163</v>
      </c>
      <c r="E29" s="20" t="s">
        <v>135</v>
      </c>
      <c r="F29" s="20" t="s">
        <v>125</v>
      </c>
      <c r="G29" s="20" t="s">
        <v>113</v>
      </c>
      <c r="H29" s="20" t="s">
        <v>126</v>
      </c>
      <c r="I29" s="21">
        <v>108949.17</v>
      </c>
      <c r="J29" s="21">
        <v>8</v>
      </c>
      <c r="K29" s="20">
        <v>360</v>
      </c>
      <c r="L29" s="20">
        <v>27</v>
      </c>
      <c r="M29" s="20" t="s">
        <v>131</v>
      </c>
    </row>
    <row r="30" spans="1:13" ht="16.5" customHeight="1" x14ac:dyDescent="0.45">
      <c r="A30" s="22" t="s">
        <v>192</v>
      </c>
      <c r="B30" s="22" t="s">
        <v>193</v>
      </c>
      <c r="C30" s="22" t="s">
        <v>147</v>
      </c>
      <c r="D30" s="22" t="s">
        <v>110</v>
      </c>
      <c r="E30" s="22" t="s">
        <v>111</v>
      </c>
      <c r="F30" s="22" t="s">
        <v>141</v>
      </c>
      <c r="G30" s="22" t="s">
        <v>113</v>
      </c>
      <c r="H30" s="22" t="s">
        <v>114</v>
      </c>
      <c r="I30" s="23">
        <v>184668.95</v>
      </c>
      <c r="J30" s="23">
        <v>5.36</v>
      </c>
      <c r="K30" s="22">
        <v>48</v>
      </c>
      <c r="L30" s="22">
        <v>32</v>
      </c>
      <c r="M30" s="22" t="s">
        <v>131</v>
      </c>
    </row>
    <row r="31" spans="1:13" ht="16.5" customHeight="1" x14ac:dyDescent="0.45">
      <c r="A31" s="20" t="s">
        <v>194</v>
      </c>
      <c r="B31" s="20" t="s">
        <v>195</v>
      </c>
      <c r="C31" s="20" t="s">
        <v>176</v>
      </c>
      <c r="D31" s="20" t="s">
        <v>134</v>
      </c>
      <c r="E31" s="20" t="s">
        <v>135</v>
      </c>
      <c r="F31" s="20" t="s">
        <v>112</v>
      </c>
      <c r="G31" s="20" t="s">
        <v>113</v>
      </c>
      <c r="H31" s="20" t="s">
        <v>126</v>
      </c>
      <c r="I31" s="21">
        <v>176395.17</v>
      </c>
      <c r="J31" s="21">
        <v>7.05</v>
      </c>
      <c r="K31" s="20">
        <v>240</v>
      </c>
      <c r="L31" s="20">
        <v>26</v>
      </c>
      <c r="M31" s="20" t="s">
        <v>131</v>
      </c>
    </row>
    <row r="32" spans="1:13" ht="16.5" customHeight="1" x14ac:dyDescent="0.45">
      <c r="A32" s="22" t="s">
        <v>196</v>
      </c>
      <c r="B32" s="22" t="s">
        <v>146</v>
      </c>
      <c r="C32" s="22" t="s">
        <v>147</v>
      </c>
      <c r="D32" s="22" t="s">
        <v>159</v>
      </c>
      <c r="E32" s="22" t="s">
        <v>135</v>
      </c>
      <c r="F32" s="22" t="s">
        <v>125</v>
      </c>
      <c r="G32" s="22" t="s">
        <v>113</v>
      </c>
      <c r="H32" s="22" t="s">
        <v>114</v>
      </c>
      <c r="I32" s="23"/>
      <c r="J32" s="23">
        <v>10.119999999999999</v>
      </c>
      <c r="K32" s="22">
        <v>24</v>
      </c>
      <c r="L32" s="22">
        <v>39</v>
      </c>
      <c r="M32" s="22" t="s">
        <v>131</v>
      </c>
    </row>
    <row r="33" spans="1:13" ht="16.5" customHeight="1" x14ac:dyDescent="0.45">
      <c r="A33" s="20" t="s">
        <v>197</v>
      </c>
      <c r="B33" s="20" t="s">
        <v>198</v>
      </c>
      <c r="C33" s="20" t="s">
        <v>144</v>
      </c>
      <c r="D33" s="20" t="s">
        <v>156</v>
      </c>
      <c r="E33" s="20" t="s">
        <v>111</v>
      </c>
      <c r="F33" s="20" t="s">
        <v>125</v>
      </c>
      <c r="G33" s="20" t="s">
        <v>113</v>
      </c>
      <c r="H33" s="20" t="s">
        <v>121</v>
      </c>
      <c r="I33" s="21">
        <v>174300.23</v>
      </c>
      <c r="J33" s="21">
        <v>8.6</v>
      </c>
      <c r="K33" s="20">
        <v>36</v>
      </c>
      <c r="L33" s="20">
        <v>50</v>
      </c>
      <c r="M33" s="20" t="s">
        <v>131</v>
      </c>
    </row>
    <row r="34" spans="1:13" ht="16.5" customHeight="1" x14ac:dyDescent="0.45">
      <c r="A34" s="22" t="s">
        <v>199</v>
      </c>
      <c r="B34" s="22" t="s">
        <v>200</v>
      </c>
      <c r="C34" s="22" t="s">
        <v>147</v>
      </c>
      <c r="D34" s="22" t="s">
        <v>110</v>
      </c>
      <c r="E34" s="22" t="s">
        <v>111</v>
      </c>
      <c r="F34" s="22" t="s">
        <v>125</v>
      </c>
      <c r="G34" s="22" t="s">
        <v>113</v>
      </c>
      <c r="H34" s="22" t="s">
        <v>121</v>
      </c>
      <c r="I34" s="23">
        <v>134809.56</v>
      </c>
      <c r="J34" s="23">
        <v>11.47</v>
      </c>
      <c r="K34" s="22">
        <v>6</v>
      </c>
      <c r="L34" s="22">
        <v>23</v>
      </c>
      <c r="M34" s="22" t="s">
        <v>131</v>
      </c>
    </row>
    <row r="35" spans="1:13" ht="16.5" customHeight="1" x14ac:dyDescent="0.45">
      <c r="A35" s="20" t="s">
        <v>201</v>
      </c>
      <c r="B35" s="20" t="s">
        <v>202</v>
      </c>
      <c r="C35" s="20" t="s">
        <v>147</v>
      </c>
      <c r="D35" s="20" t="s">
        <v>159</v>
      </c>
      <c r="E35" s="20" t="s">
        <v>135</v>
      </c>
      <c r="F35" s="20" t="s">
        <v>136</v>
      </c>
      <c r="G35" s="20" t="s">
        <v>113</v>
      </c>
      <c r="H35" s="20" t="s">
        <v>121</v>
      </c>
      <c r="I35" s="21">
        <v>211082.87</v>
      </c>
      <c r="J35" s="21">
        <v>10.86</v>
      </c>
      <c r="K35" s="20">
        <v>180</v>
      </c>
      <c r="L35" s="20">
        <v>49</v>
      </c>
      <c r="M35" s="20" t="s">
        <v>131</v>
      </c>
    </row>
    <row r="36" spans="1:13" ht="16.5" customHeight="1" x14ac:dyDescent="0.45">
      <c r="A36" s="22" t="s">
        <v>203</v>
      </c>
      <c r="B36" s="22" t="s">
        <v>204</v>
      </c>
      <c r="C36" s="22" t="s">
        <v>124</v>
      </c>
      <c r="D36" s="22" t="s">
        <v>156</v>
      </c>
      <c r="E36" s="22" t="s">
        <v>111</v>
      </c>
      <c r="F36" s="22" t="s">
        <v>125</v>
      </c>
      <c r="G36" s="22" t="s">
        <v>113</v>
      </c>
      <c r="H36" s="22" t="s">
        <v>126</v>
      </c>
      <c r="I36" s="23">
        <v>232615.16</v>
      </c>
      <c r="J36" s="23">
        <v>5.03</v>
      </c>
      <c r="K36" s="22">
        <v>60</v>
      </c>
      <c r="L36" s="22">
        <v>61</v>
      </c>
      <c r="M36" s="22" t="s">
        <v>131</v>
      </c>
    </row>
    <row r="37" spans="1:13" ht="16.5" customHeight="1" x14ac:dyDescent="0.45">
      <c r="A37" s="20" t="s">
        <v>205</v>
      </c>
      <c r="B37" s="20" t="s">
        <v>206</v>
      </c>
      <c r="C37" s="20" t="s">
        <v>109</v>
      </c>
      <c r="D37" s="20" t="s">
        <v>163</v>
      </c>
      <c r="E37" s="20" t="s">
        <v>135</v>
      </c>
      <c r="F37" s="20" t="s">
        <v>141</v>
      </c>
      <c r="G37" s="20" t="s">
        <v>113</v>
      </c>
      <c r="H37" s="20" t="s">
        <v>126</v>
      </c>
      <c r="I37" s="21">
        <v>19870.29</v>
      </c>
      <c r="J37" s="21">
        <v>6.91</v>
      </c>
      <c r="K37" s="20">
        <v>6</v>
      </c>
      <c r="L37" s="20">
        <v>40</v>
      </c>
      <c r="M37" s="20" t="s">
        <v>189</v>
      </c>
    </row>
    <row r="38" spans="1:13" ht="16.5" customHeight="1" x14ac:dyDescent="0.45">
      <c r="A38" s="22" t="s">
        <v>207</v>
      </c>
      <c r="B38" s="22" t="s">
        <v>208</v>
      </c>
      <c r="C38" s="22" t="s">
        <v>124</v>
      </c>
      <c r="D38" s="22" t="s">
        <v>118</v>
      </c>
      <c r="E38" s="22" t="s">
        <v>111</v>
      </c>
      <c r="F38" s="22" t="s">
        <v>141</v>
      </c>
      <c r="G38" s="22" t="s">
        <v>130</v>
      </c>
      <c r="H38" s="22" t="s">
        <v>126</v>
      </c>
      <c r="I38" s="23">
        <v>99894.86</v>
      </c>
      <c r="J38" s="23">
        <v>4.9000000000000004</v>
      </c>
      <c r="K38" s="22">
        <v>360</v>
      </c>
      <c r="L38" s="22">
        <v>39</v>
      </c>
      <c r="M38" s="22" t="s">
        <v>115</v>
      </c>
    </row>
    <row r="39" spans="1:13" ht="16.5" customHeight="1" x14ac:dyDescent="0.45">
      <c r="A39" s="20" t="s">
        <v>209</v>
      </c>
      <c r="B39" s="20" t="s">
        <v>210</v>
      </c>
      <c r="C39" s="20" t="s">
        <v>211</v>
      </c>
      <c r="D39" s="20" t="s">
        <v>159</v>
      </c>
      <c r="E39" s="20" t="s">
        <v>135</v>
      </c>
      <c r="F39" s="20" t="s">
        <v>141</v>
      </c>
      <c r="G39" s="20" t="s">
        <v>113</v>
      </c>
      <c r="H39" s="20" t="s">
        <v>114</v>
      </c>
      <c r="I39" s="21">
        <v>106129.92</v>
      </c>
      <c r="J39" s="21">
        <v>10.119999999999999</v>
      </c>
      <c r="K39" s="20">
        <v>360</v>
      </c>
      <c r="L39" s="20">
        <v>59</v>
      </c>
      <c r="M39" s="20" t="s">
        <v>131</v>
      </c>
    </row>
    <row r="40" spans="1:13" ht="16.5" customHeight="1" x14ac:dyDescent="0.45">
      <c r="A40" s="22" t="s">
        <v>212</v>
      </c>
      <c r="B40" s="22" t="s">
        <v>213</v>
      </c>
      <c r="C40" s="22" t="s">
        <v>147</v>
      </c>
      <c r="D40" s="22" t="s">
        <v>159</v>
      </c>
      <c r="E40" s="22" t="s">
        <v>135</v>
      </c>
      <c r="F40" s="22" t="s">
        <v>136</v>
      </c>
      <c r="G40" s="22" t="s">
        <v>120</v>
      </c>
      <c r="H40" s="22" t="s">
        <v>121</v>
      </c>
      <c r="I40" s="23">
        <v>34141.599999999999</v>
      </c>
      <c r="J40" s="23">
        <v>11.4</v>
      </c>
      <c r="K40" s="22">
        <v>48</v>
      </c>
      <c r="L40" s="22">
        <v>33</v>
      </c>
      <c r="M40" s="22" t="s">
        <v>115</v>
      </c>
    </row>
    <row r="41" spans="1:13" ht="16.5" customHeight="1" x14ac:dyDescent="0.45">
      <c r="A41" s="20" t="s">
        <v>214</v>
      </c>
      <c r="B41" s="20" t="s">
        <v>215</v>
      </c>
      <c r="C41" s="20" t="s">
        <v>109</v>
      </c>
      <c r="D41" s="20" t="s">
        <v>134</v>
      </c>
      <c r="E41" s="20" t="s">
        <v>135</v>
      </c>
      <c r="F41" s="20" t="s">
        <v>125</v>
      </c>
      <c r="G41" s="20" t="s">
        <v>113</v>
      </c>
      <c r="H41" s="20" t="s">
        <v>126</v>
      </c>
      <c r="I41" s="21">
        <v>212293.98</v>
      </c>
      <c r="J41" s="21">
        <v>10.86</v>
      </c>
      <c r="K41" s="20">
        <v>48</v>
      </c>
      <c r="L41" s="20">
        <v>68</v>
      </c>
      <c r="M41" s="20" t="s">
        <v>131</v>
      </c>
    </row>
    <row r="42" spans="1:13" ht="16.5" customHeight="1" x14ac:dyDescent="0.45">
      <c r="A42" s="22" t="s">
        <v>216</v>
      </c>
      <c r="B42" s="22" t="s">
        <v>217</v>
      </c>
      <c r="C42" s="22" t="s">
        <v>109</v>
      </c>
      <c r="D42" s="22" t="s">
        <v>129</v>
      </c>
      <c r="E42" s="22" t="s">
        <v>111</v>
      </c>
      <c r="F42" s="22" t="s">
        <v>119</v>
      </c>
      <c r="G42" s="22" t="s">
        <v>113</v>
      </c>
      <c r="H42" s="22" t="s">
        <v>121</v>
      </c>
      <c r="I42" s="23">
        <v>249203.95</v>
      </c>
      <c r="J42" s="23">
        <v>11.35</v>
      </c>
      <c r="K42" s="22">
        <v>48</v>
      </c>
      <c r="L42" s="22">
        <v>75</v>
      </c>
      <c r="M42" s="22" t="s">
        <v>131</v>
      </c>
    </row>
    <row r="43" spans="1:13" ht="16.5" customHeight="1" x14ac:dyDescent="0.45">
      <c r="A43" s="20" t="s">
        <v>218</v>
      </c>
      <c r="B43" s="20" t="s">
        <v>219</v>
      </c>
      <c r="C43" s="20" t="s">
        <v>144</v>
      </c>
      <c r="D43" s="20" t="s">
        <v>118</v>
      </c>
      <c r="E43" s="20" t="s">
        <v>111</v>
      </c>
      <c r="F43" s="20" t="s">
        <v>119</v>
      </c>
      <c r="G43" s="20" t="s">
        <v>113</v>
      </c>
      <c r="H43" s="20" t="s">
        <v>114</v>
      </c>
      <c r="I43" s="21">
        <v>153606.39000000001</v>
      </c>
      <c r="J43" s="21">
        <v>9.42</v>
      </c>
      <c r="K43" s="20">
        <v>12</v>
      </c>
      <c r="L43" s="20">
        <v>36</v>
      </c>
      <c r="M43" s="20" t="s">
        <v>131</v>
      </c>
    </row>
    <row r="44" spans="1:13" ht="16.5" customHeight="1" x14ac:dyDescent="0.45">
      <c r="A44" s="22" t="s">
        <v>220</v>
      </c>
      <c r="B44" s="22" t="s">
        <v>221</v>
      </c>
      <c r="C44" s="22" t="s">
        <v>109</v>
      </c>
      <c r="D44" s="22" t="s">
        <v>134</v>
      </c>
      <c r="E44" s="22" t="s">
        <v>135</v>
      </c>
      <c r="F44" s="22" t="s">
        <v>125</v>
      </c>
      <c r="G44" s="22" t="s">
        <v>113</v>
      </c>
      <c r="H44" s="22" t="s">
        <v>114</v>
      </c>
      <c r="I44" s="23">
        <v>27111.119999999999</v>
      </c>
      <c r="J44" s="23">
        <v>2.56</v>
      </c>
      <c r="K44" s="22">
        <v>12</v>
      </c>
      <c r="L44" s="22">
        <v>71</v>
      </c>
      <c r="M44" s="22" t="s">
        <v>115</v>
      </c>
    </row>
    <row r="45" spans="1:13" ht="16.5" customHeight="1" x14ac:dyDescent="0.45">
      <c r="A45" s="20" t="s">
        <v>222</v>
      </c>
      <c r="B45" s="20" t="s">
        <v>223</v>
      </c>
      <c r="C45" s="20" t="s">
        <v>124</v>
      </c>
      <c r="D45" s="20" t="s">
        <v>129</v>
      </c>
      <c r="E45" s="20" t="s">
        <v>111</v>
      </c>
      <c r="F45" s="20" t="s">
        <v>141</v>
      </c>
      <c r="G45" s="20" t="s">
        <v>130</v>
      </c>
      <c r="H45" s="20" t="s">
        <v>114</v>
      </c>
      <c r="I45" s="21">
        <v>28334.09</v>
      </c>
      <c r="J45" s="21">
        <v>2.79</v>
      </c>
      <c r="K45" s="20">
        <v>36</v>
      </c>
      <c r="L45" s="20">
        <v>41</v>
      </c>
      <c r="M45" s="20" t="s">
        <v>115</v>
      </c>
    </row>
    <row r="46" spans="1:13" ht="16.5" customHeight="1" x14ac:dyDescent="0.45">
      <c r="A46" s="22" t="s">
        <v>224</v>
      </c>
      <c r="B46" s="22" t="s">
        <v>225</v>
      </c>
      <c r="C46" s="22" t="s">
        <v>109</v>
      </c>
      <c r="D46" s="22" t="s">
        <v>156</v>
      </c>
      <c r="E46" s="22" t="s">
        <v>111</v>
      </c>
      <c r="F46" s="22" t="s">
        <v>112</v>
      </c>
      <c r="G46" s="22" t="s">
        <v>113</v>
      </c>
      <c r="H46" s="22" t="s">
        <v>114</v>
      </c>
      <c r="I46" s="23">
        <v>81609.31</v>
      </c>
      <c r="J46" s="23">
        <v>13</v>
      </c>
      <c r="K46" s="22">
        <v>36</v>
      </c>
      <c r="L46" s="22">
        <v>35</v>
      </c>
      <c r="M46" s="22" t="s">
        <v>115</v>
      </c>
    </row>
    <row r="47" spans="1:13" ht="16.5" customHeight="1" x14ac:dyDescent="0.45">
      <c r="A47" s="20" t="s">
        <v>226</v>
      </c>
      <c r="B47" s="20" t="s">
        <v>227</v>
      </c>
      <c r="C47" s="20" t="s">
        <v>144</v>
      </c>
      <c r="D47" s="20" t="s">
        <v>156</v>
      </c>
      <c r="E47" s="20" t="s">
        <v>111</v>
      </c>
      <c r="F47" s="20" t="s">
        <v>141</v>
      </c>
      <c r="G47" s="20" t="s">
        <v>113</v>
      </c>
      <c r="H47" s="20" t="s">
        <v>126</v>
      </c>
      <c r="I47" s="21">
        <v>5625.76</v>
      </c>
      <c r="J47" s="21">
        <v>9.4700000000000006</v>
      </c>
      <c r="K47" s="20">
        <v>60</v>
      </c>
      <c r="L47" s="20">
        <v>31</v>
      </c>
      <c r="M47" s="20" t="s">
        <v>189</v>
      </c>
    </row>
    <row r="48" spans="1:13" ht="16.5" customHeight="1" x14ac:dyDescent="0.45">
      <c r="A48" s="22" t="s">
        <v>228</v>
      </c>
      <c r="B48" s="22" t="s">
        <v>138</v>
      </c>
      <c r="C48" s="22" t="s">
        <v>229</v>
      </c>
      <c r="D48" s="22" t="s">
        <v>139</v>
      </c>
      <c r="E48" s="22" t="s">
        <v>140</v>
      </c>
      <c r="F48" s="22" t="s">
        <v>119</v>
      </c>
      <c r="G48" s="22" t="s">
        <v>113</v>
      </c>
      <c r="H48" s="22" t="s">
        <v>126</v>
      </c>
      <c r="I48" s="23">
        <v>238835.01</v>
      </c>
      <c r="J48" s="23">
        <v>10.42</v>
      </c>
      <c r="K48" s="22">
        <v>240</v>
      </c>
      <c r="L48" s="22">
        <v>40</v>
      </c>
      <c r="M48" s="22" t="s">
        <v>131</v>
      </c>
    </row>
    <row r="49" spans="1:13" ht="16.5" customHeight="1" x14ac:dyDescent="0.45">
      <c r="A49" s="20" t="s">
        <v>230</v>
      </c>
      <c r="B49" s="20" t="s">
        <v>231</v>
      </c>
      <c r="C49" s="20" t="s">
        <v>147</v>
      </c>
      <c r="D49" s="20" t="s">
        <v>129</v>
      </c>
      <c r="E49" s="20" t="s">
        <v>111</v>
      </c>
      <c r="F49" s="20" t="s">
        <v>125</v>
      </c>
      <c r="G49" s="20" t="s">
        <v>113</v>
      </c>
      <c r="H49" s="20" t="s">
        <v>121</v>
      </c>
      <c r="I49" s="21">
        <v>136255.47</v>
      </c>
      <c r="J49" s="21">
        <v>6.86</v>
      </c>
      <c r="K49" s="20">
        <v>360</v>
      </c>
      <c r="L49" s="20">
        <v>63</v>
      </c>
      <c r="M49" s="20" t="s">
        <v>131</v>
      </c>
    </row>
    <row r="50" spans="1:13" ht="16.5" customHeight="1" x14ac:dyDescent="0.45">
      <c r="A50" s="22" t="s">
        <v>232</v>
      </c>
      <c r="B50" s="22" t="s">
        <v>233</v>
      </c>
      <c r="C50" s="22" t="s">
        <v>124</v>
      </c>
      <c r="D50" s="22" t="s">
        <v>129</v>
      </c>
      <c r="E50" s="22" t="s">
        <v>111</v>
      </c>
      <c r="F50" s="22" t="s">
        <v>125</v>
      </c>
      <c r="G50" s="22" t="s">
        <v>113</v>
      </c>
      <c r="H50" s="22" t="s">
        <v>114</v>
      </c>
      <c r="I50" s="23">
        <v>97914.83</v>
      </c>
      <c r="J50" s="23">
        <v>9.32</v>
      </c>
      <c r="K50" s="22">
        <v>360</v>
      </c>
      <c r="L50" s="22">
        <v>29</v>
      </c>
      <c r="M50" s="22" t="s">
        <v>115</v>
      </c>
    </row>
    <row r="51" spans="1:13" ht="16.5" customHeight="1" x14ac:dyDescent="0.45">
      <c r="A51" s="20" t="s">
        <v>234</v>
      </c>
      <c r="B51" s="20" t="s">
        <v>235</v>
      </c>
      <c r="C51" s="20" t="s">
        <v>144</v>
      </c>
      <c r="D51" s="20" t="s">
        <v>129</v>
      </c>
      <c r="E51" s="20" t="s">
        <v>111</v>
      </c>
      <c r="F51" s="20" t="s">
        <v>112</v>
      </c>
      <c r="G51" s="20" t="s">
        <v>113</v>
      </c>
      <c r="H51" s="20" t="s">
        <v>114</v>
      </c>
      <c r="I51" s="21">
        <v>133993.39000000001</v>
      </c>
      <c r="J51" s="21">
        <v>4.1399999999999997</v>
      </c>
      <c r="K51" s="20">
        <v>120</v>
      </c>
      <c r="L51" s="20">
        <v>55</v>
      </c>
      <c r="M51" s="20" t="s">
        <v>131</v>
      </c>
    </row>
    <row r="52" spans="1:13" ht="16.5" customHeight="1" x14ac:dyDescent="0.45">
      <c r="A52" s="22" t="s">
        <v>236</v>
      </c>
      <c r="B52" s="22" t="s">
        <v>237</v>
      </c>
      <c r="C52" s="22" t="s">
        <v>124</v>
      </c>
      <c r="D52" s="22" t="s">
        <v>159</v>
      </c>
      <c r="E52" s="22" t="s">
        <v>135</v>
      </c>
      <c r="F52" s="22" t="s">
        <v>136</v>
      </c>
      <c r="G52" s="22" t="s">
        <v>113</v>
      </c>
      <c r="H52" s="22" t="s">
        <v>121</v>
      </c>
      <c r="I52" s="23">
        <v>125196.99</v>
      </c>
      <c r="J52" s="23">
        <v>5.97</v>
      </c>
      <c r="K52" s="22">
        <v>240</v>
      </c>
      <c r="L52" s="22">
        <v>24</v>
      </c>
      <c r="M52" s="22" t="s">
        <v>131</v>
      </c>
    </row>
    <row r="53" spans="1:13" ht="16.5" customHeight="1" x14ac:dyDescent="0.45">
      <c r="A53" s="20" t="s">
        <v>238</v>
      </c>
      <c r="B53" s="20" t="s">
        <v>239</v>
      </c>
      <c r="C53" s="20" t="s">
        <v>144</v>
      </c>
      <c r="D53" s="20" t="s">
        <v>156</v>
      </c>
      <c r="E53" s="20" t="s">
        <v>111</v>
      </c>
      <c r="F53" s="20" t="s">
        <v>141</v>
      </c>
      <c r="G53" s="20" t="s">
        <v>113</v>
      </c>
      <c r="H53" s="20" t="s">
        <v>114</v>
      </c>
      <c r="I53" s="21">
        <v>54418.04</v>
      </c>
      <c r="J53" s="21">
        <v>10.95</v>
      </c>
      <c r="K53" s="20">
        <v>6</v>
      </c>
      <c r="L53" s="20">
        <v>50</v>
      </c>
      <c r="M53" s="20" t="s">
        <v>115</v>
      </c>
    </row>
    <row r="54" spans="1:13" ht="16.5" customHeight="1" x14ac:dyDescent="0.45">
      <c r="A54" s="22" t="s">
        <v>240</v>
      </c>
      <c r="B54" s="22" t="s">
        <v>241</v>
      </c>
      <c r="C54" s="22" t="s">
        <v>147</v>
      </c>
      <c r="D54" s="22" t="s">
        <v>118</v>
      </c>
      <c r="E54" s="22" t="s">
        <v>111</v>
      </c>
      <c r="F54" s="22" t="s">
        <v>125</v>
      </c>
      <c r="G54" s="22" t="s">
        <v>113</v>
      </c>
      <c r="H54" s="22" t="s">
        <v>114</v>
      </c>
      <c r="I54" s="23">
        <v>108139.41</v>
      </c>
      <c r="J54" s="23">
        <v>12.71</v>
      </c>
      <c r="K54" s="22">
        <v>240</v>
      </c>
      <c r="L54" s="22">
        <v>51</v>
      </c>
      <c r="M54" s="22" t="s">
        <v>131</v>
      </c>
    </row>
    <row r="55" spans="1:13" ht="16.5" customHeight="1" x14ac:dyDescent="0.45">
      <c r="A55" s="20" t="s">
        <v>242</v>
      </c>
      <c r="B55" s="20" t="s">
        <v>149</v>
      </c>
      <c r="C55" s="20" t="s">
        <v>147</v>
      </c>
      <c r="D55" s="20" t="s">
        <v>139</v>
      </c>
      <c r="E55" s="20" t="s">
        <v>140</v>
      </c>
      <c r="F55" s="20" t="s">
        <v>125</v>
      </c>
      <c r="G55" s="20" t="s">
        <v>130</v>
      </c>
      <c r="H55" s="20" t="s">
        <v>114</v>
      </c>
      <c r="I55" s="21">
        <v>142609.84</v>
      </c>
      <c r="J55" s="21">
        <v>12.26</v>
      </c>
      <c r="K55" s="20">
        <v>180</v>
      </c>
      <c r="L55" s="20">
        <v>70</v>
      </c>
      <c r="M55" s="20" t="s">
        <v>131</v>
      </c>
    </row>
    <row r="56" spans="1:13" ht="16.5" customHeight="1" x14ac:dyDescent="0.45">
      <c r="A56" s="22" t="s">
        <v>243</v>
      </c>
      <c r="B56" s="22" t="s">
        <v>244</v>
      </c>
      <c r="C56" s="22" t="s">
        <v>147</v>
      </c>
      <c r="D56" s="22" t="s">
        <v>156</v>
      </c>
      <c r="E56" s="22" t="s">
        <v>111</v>
      </c>
      <c r="F56" s="22" t="s">
        <v>141</v>
      </c>
      <c r="G56" s="22" t="s">
        <v>120</v>
      </c>
      <c r="H56" s="22" t="s">
        <v>121</v>
      </c>
      <c r="I56" s="23">
        <v>50622.52</v>
      </c>
      <c r="J56" s="23">
        <v>7.27</v>
      </c>
      <c r="K56" s="22">
        <v>48</v>
      </c>
      <c r="L56" s="22">
        <v>33</v>
      </c>
      <c r="M56" s="22" t="s">
        <v>115</v>
      </c>
    </row>
    <row r="57" spans="1:13" ht="16.5" customHeight="1" x14ac:dyDescent="0.45">
      <c r="A57" s="20" t="s">
        <v>245</v>
      </c>
      <c r="B57" s="20" t="s">
        <v>246</v>
      </c>
      <c r="C57" s="20" t="s">
        <v>124</v>
      </c>
      <c r="D57" s="20" t="s">
        <v>139</v>
      </c>
      <c r="E57" s="20" t="s">
        <v>140</v>
      </c>
      <c r="F57" s="20" t="s">
        <v>136</v>
      </c>
      <c r="G57" s="20" t="s">
        <v>113</v>
      </c>
      <c r="H57" s="20" t="s">
        <v>126</v>
      </c>
      <c r="I57" s="21">
        <v>243887.25</v>
      </c>
      <c r="J57" s="21"/>
      <c r="K57" s="20">
        <v>36</v>
      </c>
      <c r="L57" s="20">
        <v>33</v>
      </c>
      <c r="M57" s="20" t="s">
        <v>131</v>
      </c>
    </row>
    <row r="58" spans="1:13" ht="16.5" customHeight="1" x14ac:dyDescent="0.45">
      <c r="A58" s="22" t="s">
        <v>247</v>
      </c>
      <c r="B58" s="22" t="s">
        <v>248</v>
      </c>
      <c r="C58" s="22" t="s">
        <v>176</v>
      </c>
      <c r="D58" s="22" t="s">
        <v>118</v>
      </c>
      <c r="E58" s="22" t="s">
        <v>111</v>
      </c>
      <c r="F58" s="22" t="s">
        <v>119</v>
      </c>
      <c r="G58" s="22" t="s">
        <v>113</v>
      </c>
      <c r="H58" s="22" t="s">
        <v>121</v>
      </c>
      <c r="I58" s="23">
        <v>100573.87</v>
      </c>
      <c r="J58" s="23">
        <v>12.67</v>
      </c>
      <c r="K58" s="22">
        <v>60</v>
      </c>
      <c r="L58" s="22">
        <v>72</v>
      </c>
      <c r="M58" s="22" t="s">
        <v>131</v>
      </c>
    </row>
    <row r="59" spans="1:13" ht="16.5" customHeight="1" x14ac:dyDescent="0.45">
      <c r="A59" s="20" t="s">
        <v>249</v>
      </c>
      <c r="B59" s="20" t="s">
        <v>250</v>
      </c>
      <c r="C59" s="20" t="s">
        <v>109</v>
      </c>
      <c r="D59" s="20" t="s">
        <v>156</v>
      </c>
      <c r="E59" s="20" t="s">
        <v>111</v>
      </c>
      <c r="F59" s="20" t="s">
        <v>112</v>
      </c>
      <c r="G59" s="20" t="s">
        <v>113</v>
      </c>
      <c r="H59" s="20" t="s">
        <v>126</v>
      </c>
      <c r="I59" s="21">
        <v>154461.28</v>
      </c>
      <c r="J59" s="21">
        <v>8.2899999999999991</v>
      </c>
      <c r="K59" s="20">
        <v>240</v>
      </c>
      <c r="L59" s="20">
        <v>64</v>
      </c>
      <c r="M59" s="20" t="s">
        <v>131</v>
      </c>
    </row>
    <row r="60" spans="1:13" ht="16.5" customHeight="1" x14ac:dyDescent="0.45">
      <c r="A60" s="22" t="s">
        <v>251</v>
      </c>
      <c r="B60" s="22" t="s">
        <v>146</v>
      </c>
      <c r="C60" s="22" t="s">
        <v>109</v>
      </c>
      <c r="D60" s="22" t="s">
        <v>156</v>
      </c>
      <c r="E60" s="22" t="s">
        <v>111</v>
      </c>
      <c r="F60" s="22" t="s">
        <v>136</v>
      </c>
      <c r="G60" s="22" t="s">
        <v>113</v>
      </c>
      <c r="H60" s="22" t="s">
        <v>121</v>
      </c>
      <c r="I60" s="23">
        <v>176157.79</v>
      </c>
      <c r="J60" s="23">
        <v>3.53</v>
      </c>
      <c r="K60" s="22">
        <v>36</v>
      </c>
      <c r="L60" s="22">
        <v>72</v>
      </c>
      <c r="M60" s="22" t="s">
        <v>131</v>
      </c>
    </row>
    <row r="61" spans="1:13" ht="16.5" customHeight="1" x14ac:dyDescent="0.45">
      <c r="A61" s="20" t="s">
        <v>252</v>
      </c>
      <c r="B61" s="20" t="s">
        <v>253</v>
      </c>
      <c r="C61" s="20" t="s">
        <v>144</v>
      </c>
      <c r="D61" s="20" t="s">
        <v>156</v>
      </c>
      <c r="E61" s="20" t="s">
        <v>111</v>
      </c>
      <c r="F61" s="20" t="s">
        <v>125</v>
      </c>
      <c r="G61" s="20" t="s">
        <v>113</v>
      </c>
      <c r="H61" s="20" t="s">
        <v>114</v>
      </c>
      <c r="I61" s="21">
        <v>21996.18</v>
      </c>
      <c r="J61" s="21">
        <v>7.91</v>
      </c>
      <c r="K61" s="20">
        <v>36</v>
      </c>
      <c r="L61" s="20">
        <v>68</v>
      </c>
      <c r="M61" s="20" t="s">
        <v>189</v>
      </c>
    </row>
    <row r="62" spans="1:13" ht="16.5" customHeight="1" x14ac:dyDescent="0.45">
      <c r="A62" s="22" t="s">
        <v>254</v>
      </c>
      <c r="B62" s="22" t="s">
        <v>255</v>
      </c>
      <c r="C62" s="22" t="s">
        <v>176</v>
      </c>
      <c r="D62" s="22" t="s">
        <v>110</v>
      </c>
      <c r="E62" s="22" t="s">
        <v>111</v>
      </c>
      <c r="F62" s="22" t="s">
        <v>141</v>
      </c>
      <c r="G62" s="22" t="s">
        <v>120</v>
      </c>
      <c r="H62" s="22" t="s">
        <v>121</v>
      </c>
      <c r="I62" s="23">
        <v>184311.2</v>
      </c>
      <c r="J62" s="23">
        <v>4.4400000000000004</v>
      </c>
      <c r="K62" s="22">
        <v>24</v>
      </c>
      <c r="L62" s="22">
        <v>52</v>
      </c>
      <c r="M62" s="22" t="s">
        <v>131</v>
      </c>
    </row>
    <row r="63" spans="1:13" ht="16.5" customHeight="1" x14ac:dyDescent="0.45">
      <c r="A63" s="20" t="s">
        <v>256</v>
      </c>
      <c r="B63" s="20" t="s">
        <v>257</v>
      </c>
      <c r="C63" s="20" t="s">
        <v>109</v>
      </c>
      <c r="D63" s="20" t="s">
        <v>163</v>
      </c>
      <c r="E63" s="20" t="s">
        <v>135</v>
      </c>
      <c r="F63" s="20" t="s">
        <v>112</v>
      </c>
      <c r="G63" s="20" t="s">
        <v>113</v>
      </c>
      <c r="H63" s="20" t="s">
        <v>126</v>
      </c>
      <c r="I63" s="21">
        <v>149148.93</v>
      </c>
      <c r="J63" s="21">
        <v>8.66</v>
      </c>
      <c r="K63" s="20">
        <v>360</v>
      </c>
      <c r="L63" s="20">
        <v>51</v>
      </c>
      <c r="M63" s="20" t="s">
        <v>131</v>
      </c>
    </row>
    <row r="64" spans="1:13" ht="16.5" customHeight="1" x14ac:dyDescent="0.45">
      <c r="A64" s="22" t="s">
        <v>258</v>
      </c>
      <c r="B64" s="22" t="s">
        <v>259</v>
      </c>
      <c r="C64" s="22" t="s">
        <v>109</v>
      </c>
      <c r="D64" s="22" t="s">
        <v>118</v>
      </c>
      <c r="E64" s="22" t="s">
        <v>111</v>
      </c>
      <c r="F64" s="22" t="s">
        <v>125</v>
      </c>
      <c r="G64" s="22" t="s">
        <v>113</v>
      </c>
      <c r="H64" s="22" t="s">
        <v>121</v>
      </c>
      <c r="I64" s="23">
        <v>109274.49</v>
      </c>
      <c r="J64" s="23">
        <v>13.39</v>
      </c>
      <c r="K64" s="22">
        <v>6</v>
      </c>
      <c r="L64" s="22">
        <v>68</v>
      </c>
      <c r="M64" s="22" t="s">
        <v>131</v>
      </c>
    </row>
    <row r="65" spans="1:13" ht="16.5" customHeight="1" x14ac:dyDescent="0.45">
      <c r="A65" s="20" t="s">
        <v>260</v>
      </c>
      <c r="B65" s="20" t="s">
        <v>261</v>
      </c>
      <c r="C65" s="20" t="s">
        <v>109</v>
      </c>
      <c r="D65" s="20" t="s">
        <v>159</v>
      </c>
      <c r="E65" s="20" t="s">
        <v>135</v>
      </c>
      <c r="F65" s="20" t="s">
        <v>125</v>
      </c>
      <c r="G65" s="20" t="s">
        <v>113</v>
      </c>
      <c r="H65" s="20" t="s">
        <v>126</v>
      </c>
      <c r="I65" s="21">
        <v>33892.5</v>
      </c>
      <c r="J65" s="21">
        <v>5.04</v>
      </c>
      <c r="K65" s="20">
        <v>48</v>
      </c>
      <c r="L65" s="20">
        <v>23</v>
      </c>
      <c r="M65" s="20" t="s">
        <v>115</v>
      </c>
    </row>
    <row r="66" spans="1:13" ht="16.5" customHeight="1" x14ac:dyDescent="0.45">
      <c r="A66" s="22" t="s">
        <v>262</v>
      </c>
      <c r="B66" s="22" t="s">
        <v>263</v>
      </c>
      <c r="C66" s="22" t="s">
        <v>147</v>
      </c>
      <c r="D66" s="22" t="s">
        <v>118</v>
      </c>
      <c r="E66" s="22" t="s">
        <v>111</v>
      </c>
      <c r="F66" s="22" t="s">
        <v>112</v>
      </c>
      <c r="G66" s="22" t="s">
        <v>113</v>
      </c>
      <c r="H66" s="22" t="s">
        <v>114</v>
      </c>
      <c r="I66" s="23">
        <v>188461.69</v>
      </c>
      <c r="J66" s="23">
        <v>4.6100000000000003</v>
      </c>
      <c r="K66" s="22">
        <v>48</v>
      </c>
      <c r="L66" s="22">
        <v>52</v>
      </c>
      <c r="M66" s="22" t="s">
        <v>131</v>
      </c>
    </row>
    <row r="67" spans="1:13" ht="16.5" customHeight="1" x14ac:dyDescent="0.45">
      <c r="A67" s="20" t="s">
        <v>264</v>
      </c>
      <c r="B67" s="20" t="s">
        <v>265</v>
      </c>
      <c r="C67" s="20" t="s">
        <v>124</v>
      </c>
      <c r="D67" s="20" t="s">
        <v>159</v>
      </c>
      <c r="E67" s="20" t="s">
        <v>135</v>
      </c>
      <c r="F67" s="20" t="s">
        <v>136</v>
      </c>
      <c r="G67" s="20" t="s">
        <v>113</v>
      </c>
      <c r="H67" s="20" t="s">
        <v>114</v>
      </c>
      <c r="I67" s="21">
        <v>205594.46</v>
      </c>
      <c r="J67" s="21">
        <v>13.26</v>
      </c>
      <c r="K67" s="20">
        <v>36</v>
      </c>
      <c r="L67" s="20">
        <v>73</v>
      </c>
      <c r="M67" s="20" t="s">
        <v>131</v>
      </c>
    </row>
    <row r="68" spans="1:13" ht="16.5" customHeight="1" x14ac:dyDescent="0.45">
      <c r="A68" s="22" t="s">
        <v>266</v>
      </c>
      <c r="B68" s="22" t="s">
        <v>267</v>
      </c>
      <c r="C68" s="22" t="s">
        <v>124</v>
      </c>
      <c r="D68" s="22" t="s">
        <v>156</v>
      </c>
      <c r="E68" s="22" t="s">
        <v>111</v>
      </c>
      <c r="F68" s="22" t="s">
        <v>112</v>
      </c>
      <c r="G68" s="22" t="s">
        <v>130</v>
      </c>
      <c r="H68" s="22" t="s">
        <v>121</v>
      </c>
      <c r="I68" s="23">
        <v>75749.14</v>
      </c>
      <c r="J68" s="23">
        <v>9.91</v>
      </c>
      <c r="K68" s="22">
        <v>180</v>
      </c>
      <c r="L68" s="22">
        <v>22</v>
      </c>
      <c r="M68" s="22" t="s">
        <v>115</v>
      </c>
    </row>
    <row r="69" spans="1:13" ht="16.5" customHeight="1" x14ac:dyDescent="0.45">
      <c r="A69" s="20" t="s">
        <v>268</v>
      </c>
      <c r="B69" s="20" t="s">
        <v>269</v>
      </c>
      <c r="C69" s="20" t="s">
        <v>147</v>
      </c>
      <c r="D69" s="20" t="s">
        <v>110</v>
      </c>
      <c r="E69" s="20" t="s">
        <v>111</v>
      </c>
      <c r="F69" s="20" t="s">
        <v>119</v>
      </c>
      <c r="G69" s="20" t="s">
        <v>130</v>
      </c>
      <c r="H69" s="20" t="s">
        <v>114</v>
      </c>
      <c r="I69" s="21">
        <v>90056.17</v>
      </c>
      <c r="J69" s="21">
        <v>9.2799999999999994</v>
      </c>
      <c r="K69" s="20">
        <v>48</v>
      </c>
      <c r="L69" s="20">
        <v>42</v>
      </c>
      <c r="M69" s="20" t="s">
        <v>115</v>
      </c>
    </row>
    <row r="70" spans="1:13" ht="16.5" customHeight="1" x14ac:dyDescent="0.45">
      <c r="A70" s="22" t="s">
        <v>270</v>
      </c>
      <c r="B70" s="22" t="s">
        <v>271</v>
      </c>
      <c r="C70" s="22" t="s">
        <v>144</v>
      </c>
      <c r="D70" s="22" t="s">
        <v>118</v>
      </c>
      <c r="E70" s="22" t="s">
        <v>111</v>
      </c>
      <c r="F70" s="22" t="s">
        <v>119</v>
      </c>
      <c r="G70" s="22" t="s">
        <v>120</v>
      </c>
      <c r="H70" s="22" t="s">
        <v>126</v>
      </c>
      <c r="I70" s="23">
        <v>167229.07999999999</v>
      </c>
      <c r="J70" s="23">
        <v>3.33</v>
      </c>
      <c r="K70" s="22">
        <v>12</v>
      </c>
      <c r="L70" s="22">
        <v>65</v>
      </c>
      <c r="M70" s="22" t="s">
        <v>131</v>
      </c>
    </row>
    <row r="71" spans="1:13" ht="16.5" customHeight="1" x14ac:dyDescent="0.45">
      <c r="A71" s="20" t="s">
        <v>272</v>
      </c>
      <c r="B71" s="20" t="s">
        <v>273</v>
      </c>
      <c r="C71" s="20" t="s">
        <v>144</v>
      </c>
      <c r="D71" s="20" t="s">
        <v>159</v>
      </c>
      <c r="E71" s="20" t="s">
        <v>135</v>
      </c>
      <c r="F71" s="20" t="s">
        <v>112</v>
      </c>
      <c r="G71" s="20" t="s">
        <v>113</v>
      </c>
      <c r="H71" s="20" t="s">
        <v>121</v>
      </c>
      <c r="I71" s="21">
        <v>42386.9</v>
      </c>
      <c r="J71" s="21">
        <v>9.99</v>
      </c>
      <c r="K71" s="20">
        <v>60</v>
      </c>
      <c r="L71" s="20">
        <v>42</v>
      </c>
      <c r="M71" s="20" t="s">
        <v>115</v>
      </c>
    </row>
    <row r="72" spans="1:13" ht="16.5" customHeight="1" x14ac:dyDescent="0.45">
      <c r="A72" s="22" t="s">
        <v>274</v>
      </c>
      <c r="B72" s="22" t="s">
        <v>275</v>
      </c>
      <c r="C72" s="22" t="s">
        <v>176</v>
      </c>
      <c r="D72" s="22" t="s">
        <v>159</v>
      </c>
      <c r="E72" s="22" t="s">
        <v>135</v>
      </c>
      <c r="F72" s="22" t="s">
        <v>125</v>
      </c>
      <c r="G72" s="22" t="s">
        <v>113</v>
      </c>
      <c r="H72" s="22" t="s">
        <v>114</v>
      </c>
      <c r="I72" s="23">
        <v>117592.8</v>
      </c>
      <c r="J72" s="23">
        <v>3.19</v>
      </c>
      <c r="K72" s="22">
        <v>48</v>
      </c>
      <c r="L72" s="22">
        <v>63</v>
      </c>
      <c r="M72" s="22" t="s">
        <v>131</v>
      </c>
    </row>
    <row r="73" spans="1:13" ht="16.5" customHeight="1" x14ac:dyDescent="0.45">
      <c r="A73" s="20" t="s">
        <v>276</v>
      </c>
      <c r="B73" s="20" t="s">
        <v>277</v>
      </c>
      <c r="C73" s="20" t="s">
        <v>144</v>
      </c>
      <c r="D73" s="20" t="s">
        <v>139</v>
      </c>
      <c r="E73" s="20" t="s">
        <v>140</v>
      </c>
      <c r="F73" s="20" t="s">
        <v>136</v>
      </c>
      <c r="G73" s="20" t="s">
        <v>113</v>
      </c>
      <c r="H73" s="20" t="s">
        <v>126</v>
      </c>
      <c r="I73" s="21">
        <v>140174.43</v>
      </c>
      <c r="J73" s="21">
        <v>2.5099999999999998</v>
      </c>
      <c r="K73" s="20">
        <v>360</v>
      </c>
      <c r="L73" s="20">
        <v>65</v>
      </c>
      <c r="M73" s="20" t="s">
        <v>131</v>
      </c>
    </row>
    <row r="74" spans="1:13" ht="16.5" customHeight="1" x14ac:dyDescent="0.45">
      <c r="A74" s="22" t="s">
        <v>278</v>
      </c>
      <c r="B74" s="22" t="s">
        <v>279</v>
      </c>
      <c r="C74" s="22" t="s">
        <v>144</v>
      </c>
      <c r="D74" s="22" t="s">
        <v>118</v>
      </c>
      <c r="E74" s="22" t="s">
        <v>111</v>
      </c>
      <c r="F74" s="22" t="s">
        <v>136</v>
      </c>
      <c r="G74" s="22" t="s">
        <v>120</v>
      </c>
      <c r="H74" s="22" t="s">
        <v>126</v>
      </c>
      <c r="I74" s="23">
        <v>104374.7</v>
      </c>
      <c r="J74" s="23">
        <v>12.43</v>
      </c>
      <c r="K74" s="22">
        <v>36</v>
      </c>
      <c r="L74" s="22">
        <v>50</v>
      </c>
      <c r="M74" s="22" t="s">
        <v>131</v>
      </c>
    </row>
    <row r="75" spans="1:13" ht="16.5" customHeight="1" x14ac:dyDescent="0.45">
      <c r="A75" s="20" t="s">
        <v>280</v>
      </c>
      <c r="B75" s="20" t="s">
        <v>281</v>
      </c>
      <c r="C75" s="20" t="s">
        <v>144</v>
      </c>
      <c r="D75" s="20" t="s">
        <v>156</v>
      </c>
      <c r="E75" s="20" t="s">
        <v>111</v>
      </c>
      <c r="F75" s="20" t="s">
        <v>136</v>
      </c>
      <c r="G75" s="20" t="s">
        <v>120</v>
      </c>
      <c r="H75" s="20" t="s">
        <v>114</v>
      </c>
      <c r="I75" s="21"/>
      <c r="J75" s="21">
        <v>2.94</v>
      </c>
      <c r="K75" s="20">
        <v>6</v>
      </c>
      <c r="L75" s="20">
        <v>34</v>
      </c>
      <c r="M75" s="20" t="s">
        <v>131</v>
      </c>
    </row>
    <row r="76" spans="1:13" ht="16.5" customHeight="1" x14ac:dyDescent="0.45">
      <c r="A76" s="22" t="s">
        <v>282</v>
      </c>
      <c r="B76" s="22" t="s">
        <v>271</v>
      </c>
      <c r="C76" s="22" t="s">
        <v>147</v>
      </c>
      <c r="D76" s="22" t="s">
        <v>118</v>
      </c>
      <c r="E76" s="22" t="s">
        <v>111</v>
      </c>
      <c r="F76" s="22" t="s">
        <v>125</v>
      </c>
      <c r="G76" s="22" t="s">
        <v>113</v>
      </c>
      <c r="H76" s="22" t="s">
        <v>114</v>
      </c>
      <c r="I76" s="23">
        <v>5239.2299999999996</v>
      </c>
      <c r="J76" s="23">
        <v>12.39</v>
      </c>
      <c r="K76" s="22">
        <v>48</v>
      </c>
      <c r="L76" s="22">
        <v>73</v>
      </c>
      <c r="M76" s="22" t="s">
        <v>189</v>
      </c>
    </row>
    <row r="77" spans="1:13" ht="16.5" customHeight="1" x14ac:dyDescent="0.45">
      <c r="A77" s="20" t="s">
        <v>283</v>
      </c>
      <c r="B77" s="20" t="s">
        <v>263</v>
      </c>
      <c r="C77" s="20" t="s">
        <v>176</v>
      </c>
      <c r="D77" s="20" t="s">
        <v>159</v>
      </c>
      <c r="E77" s="20" t="s">
        <v>135</v>
      </c>
      <c r="F77" s="20" t="s">
        <v>136</v>
      </c>
      <c r="G77" s="20" t="s">
        <v>113</v>
      </c>
      <c r="H77" s="20" t="s">
        <v>121</v>
      </c>
      <c r="I77" s="21">
        <v>116048.27</v>
      </c>
      <c r="J77" s="21">
        <v>13.12</v>
      </c>
      <c r="K77" s="20">
        <v>60</v>
      </c>
      <c r="L77" s="20">
        <v>33</v>
      </c>
      <c r="M77" s="20" t="s">
        <v>131</v>
      </c>
    </row>
    <row r="78" spans="1:13" ht="16.5" customHeight="1" x14ac:dyDescent="0.45">
      <c r="A78" s="22" t="s">
        <v>284</v>
      </c>
      <c r="B78" s="22" t="s">
        <v>285</v>
      </c>
      <c r="C78" s="22" t="s">
        <v>144</v>
      </c>
      <c r="D78" s="22" t="s">
        <v>118</v>
      </c>
      <c r="E78" s="22" t="s">
        <v>111</v>
      </c>
      <c r="F78" s="22" t="s">
        <v>125</v>
      </c>
      <c r="G78" s="22" t="s">
        <v>113</v>
      </c>
      <c r="H78" s="22" t="s">
        <v>126</v>
      </c>
      <c r="I78" s="23">
        <v>163134.16</v>
      </c>
      <c r="J78" s="23">
        <v>9.5399999999999991</v>
      </c>
      <c r="K78" s="22">
        <v>12</v>
      </c>
      <c r="L78" s="22">
        <v>39</v>
      </c>
      <c r="M78" s="22" t="s">
        <v>131</v>
      </c>
    </row>
    <row r="79" spans="1:13" ht="16.5" customHeight="1" x14ac:dyDescent="0.45">
      <c r="A79" s="20" t="s">
        <v>286</v>
      </c>
      <c r="B79" s="20" t="s">
        <v>241</v>
      </c>
      <c r="C79" s="20" t="s">
        <v>109</v>
      </c>
      <c r="D79" s="20" t="s">
        <v>134</v>
      </c>
      <c r="E79" s="20" t="s">
        <v>135</v>
      </c>
      <c r="F79" s="20" t="s">
        <v>112</v>
      </c>
      <c r="G79" s="20" t="s">
        <v>113</v>
      </c>
      <c r="H79" s="20" t="s">
        <v>114</v>
      </c>
      <c r="I79" s="21">
        <v>106818.83</v>
      </c>
      <c r="J79" s="21">
        <v>3.39</v>
      </c>
      <c r="K79" s="20">
        <v>48</v>
      </c>
      <c r="L79" s="20">
        <v>27</v>
      </c>
      <c r="M79" s="20" t="s">
        <v>131</v>
      </c>
    </row>
    <row r="80" spans="1:13" ht="16.5" customHeight="1" x14ac:dyDescent="0.45">
      <c r="A80" s="22" t="s">
        <v>287</v>
      </c>
      <c r="B80" s="22" t="s">
        <v>288</v>
      </c>
      <c r="C80" s="22" t="s">
        <v>147</v>
      </c>
      <c r="D80" s="22" t="s">
        <v>163</v>
      </c>
      <c r="E80" s="22" t="s">
        <v>135</v>
      </c>
      <c r="F80" s="22" t="s">
        <v>141</v>
      </c>
      <c r="G80" s="22" t="s">
        <v>113</v>
      </c>
      <c r="H80" s="22" t="s">
        <v>126</v>
      </c>
      <c r="I80" s="23">
        <v>144551.81</v>
      </c>
      <c r="J80" s="23">
        <v>5.42</v>
      </c>
      <c r="K80" s="22">
        <v>180</v>
      </c>
      <c r="L80" s="22">
        <v>30</v>
      </c>
      <c r="M80" s="22" t="s">
        <v>131</v>
      </c>
    </row>
    <row r="81" spans="1:13" ht="16.5" customHeight="1" x14ac:dyDescent="0.45">
      <c r="A81" s="20" t="s">
        <v>289</v>
      </c>
      <c r="B81" s="20" t="s">
        <v>290</v>
      </c>
      <c r="C81" s="20" t="s">
        <v>109</v>
      </c>
      <c r="D81" s="20" t="s">
        <v>118</v>
      </c>
      <c r="E81" s="20" t="s">
        <v>111</v>
      </c>
      <c r="F81" s="20" t="s">
        <v>141</v>
      </c>
      <c r="G81" s="20" t="s">
        <v>113</v>
      </c>
      <c r="H81" s="20" t="s">
        <v>114</v>
      </c>
      <c r="I81" s="21">
        <v>217149.14</v>
      </c>
      <c r="J81" s="21">
        <v>9.89</v>
      </c>
      <c r="K81" s="20">
        <v>24</v>
      </c>
      <c r="L81" s="20">
        <v>60</v>
      </c>
      <c r="M81" s="20" t="s">
        <v>131</v>
      </c>
    </row>
    <row r="82" spans="1:13" ht="16.5" customHeight="1" x14ac:dyDescent="0.45">
      <c r="A82" s="22" t="s">
        <v>291</v>
      </c>
      <c r="B82" s="22" t="s">
        <v>292</v>
      </c>
      <c r="C82" s="22" t="s">
        <v>124</v>
      </c>
      <c r="D82" s="22" t="s">
        <v>159</v>
      </c>
      <c r="E82" s="22" t="s">
        <v>135</v>
      </c>
      <c r="F82" s="22" t="s">
        <v>119</v>
      </c>
      <c r="G82" s="22" t="s">
        <v>113</v>
      </c>
      <c r="H82" s="22" t="s">
        <v>114</v>
      </c>
      <c r="I82" s="23">
        <v>219618.41</v>
      </c>
      <c r="J82" s="23">
        <v>9.3800000000000008</v>
      </c>
      <c r="K82" s="22">
        <v>12</v>
      </c>
      <c r="L82" s="22">
        <v>60</v>
      </c>
      <c r="M82" s="22" t="s">
        <v>131</v>
      </c>
    </row>
    <row r="83" spans="1:13" ht="16.5" customHeight="1" x14ac:dyDescent="0.45">
      <c r="A83" s="20" t="s">
        <v>293</v>
      </c>
      <c r="B83" s="20" t="s">
        <v>294</v>
      </c>
      <c r="C83" s="20" t="s">
        <v>144</v>
      </c>
      <c r="D83" s="20" t="s">
        <v>163</v>
      </c>
      <c r="E83" s="20" t="s">
        <v>135</v>
      </c>
      <c r="F83" s="20" t="s">
        <v>119</v>
      </c>
      <c r="G83" s="20" t="s">
        <v>113</v>
      </c>
      <c r="H83" s="20" t="s">
        <v>121</v>
      </c>
      <c r="I83" s="21">
        <v>93455.9</v>
      </c>
      <c r="J83" s="21">
        <v>5.29</v>
      </c>
      <c r="K83" s="20">
        <v>48</v>
      </c>
      <c r="L83" s="20">
        <v>39</v>
      </c>
      <c r="M83" s="20" t="s">
        <v>115</v>
      </c>
    </row>
    <row r="84" spans="1:13" ht="16.5" customHeight="1" x14ac:dyDescent="0.45">
      <c r="A84" s="22" t="s">
        <v>295</v>
      </c>
      <c r="B84" s="22" t="s">
        <v>296</v>
      </c>
      <c r="C84" s="22" t="s">
        <v>176</v>
      </c>
      <c r="D84" s="22" t="s">
        <v>129</v>
      </c>
      <c r="E84" s="22" t="s">
        <v>111</v>
      </c>
      <c r="F84" s="22" t="s">
        <v>136</v>
      </c>
      <c r="G84" s="22" t="s">
        <v>113</v>
      </c>
      <c r="H84" s="22" t="s">
        <v>121</v>
      </c>
      <c r="I84" s="23">
        <v>224998.07</v>
      </c>
      <c r="J84" s="23">
        <v>4.97</v>
      </c>
      <c r="K84" s="22">
        <v>360</v>
      </c>
      <c r="L84" s="22">
        <v>41</v>
      </c>
      <c r="M84" s="22" t="s">
        <v>131</v>
      </c>
    </row>
    <row r="85" spans="1:13" ht="16.5" customHeight="1" x14ac:dyDescent="0.45">
      <c r="A85" s="20" t="s">
        <v>297</v>
      </c>
      <c r="B85" s="20" t="s">
        <v>298</v>
      </c>
      <c r="C85" s="20" t="s">
        <v>147</v>
      </c>
      <c r="D85" s="20" t="s">
        <v>110</v>
      </c>
      <c r="E85" s="20" t="s">
        <v>111</v>
      </c>
      <c r="F85" s="20" t="s">
        <v>112</v>
      </c>
      <c r="G85" s="20" t="s">
        <v>113</v>
      </c>
      <c r="H85" s="20" t="s">
        <v>126</v>
      </c>
      <c r="I85" s="21">
        <v>22988.44</v>
      </c>
      <c r="J85" s="21">
        <v>6.97</v>
      </c>
      <c r="K85" s="20">
        <v>240</v>
      </c>
      <c r="L85" s="20">
        <v>58</v>
      </c>
      <c r="M85" s="20" t="s">
        <v>189</v>
      </c>
    </row>
    <row r="86" spans="1:13" ht="16.5" customHeight="1" x14ac:dyDescent="0.45">
      <c r="A86" s="22" t="s">
        <v>299</v>
      </c>
      <c r="B86" s="22" t="s">
        <v>300</v>
      </c>
      <c r="C86" s="22" t="s">
        <v>176</v>
      </c>
      <c r="D86" s="22" t="s">
        <v>134</v>
      </c>
      <c r="E86" s="22" t="s">
        <v>135</v>
      </c>
      <c r="F86" s="22" t="s">
        <v>136</v>
      </c>
      <c r="G86" s="22" t="s">
        <v>113</v>
      </c>
      <c r="H86" s="22" t="s">
        <v>126</v>
      </c>
      <c r="I86" s="23">
        <v>166395.66</v>
      </c>
      <c r="J86" s="23"/>
      <c r="K86" s="22">
        <v>120</v>
      </c>
      <c r="L86" s="22">
        <v>71</v>
      </c>
      <c r="M86" s="22" t="s">
        <v>131</v>
      </c>
    </row>
    <row r="87" spans="1:13" ht="16.5" customHeight="1" x14ac:dyDescent="0.45">
      <c r="A87" s="20" t="s">
        <v>301</v>
      </c>
      <c r="B87" s="20" t="s">
        <v>302</v>
      </c>
      <c r="C87" s="20" t="s">
        <v>147</v>
      </c>
      <c r="D87" s="20" t="s">
        <v>163</v>
      </c>
      <c r="E87" s="20" t="s">
        <v>135</v>
      </c>
      <c r="F87" s="20" t="s">
        <v>141</v>
      </c>
      <c r="G87" s="20" t="s">
        <v>120</v>
      </c>
      <c r="H87" s="20" t="s">
        <v>126</v>
      </c>
      <c r="I87" s="21">
        <v>61441.4</v>
      </c>
      <c r="J87" s="21">
        <v>6.22</v>
      </c>
      <c r="K87" s="20">
        <v>6</v>
      </c>
      <c r="L87" s="20">
        <v>63</v>
      </c>
      <c r="M87" s="20" t="s">
        <v>115</v>
      </c>
    </row>
    <row r="88" spans="1:13" ht="16.5" customHeight="1" x14ac:dyDescent="0.45">
      <c r="A88" s="22" t="s">
        <v>303</v>
      </c>
      <c r="B88" s="22" t="s">
        <v>304</v>
      </c>
      <c r="C88" s="22" t="s">
        <v>176</v>
      </c>
      <c r="D88" s="22" t="s">
        <v>118</v>
      </c>
      <c r="E88" s="22" t="s">
        <v>111</v>
      </c>
      <c r="F88" s="22" t="s">
        <v>112</v>
      </c>
      <c r="G88" s="22" t="s">
        <v>113</v>
      </c>
      <c r="H88" s="22" t="s">
        <v>121</v>
      </c>
      <c r="I88" s="23">
        <v>55000.03</v>
      </c>
      <c r="J88" s="23">
        <v>11.92</v>
      </c>
      <c r="K88" s="22">
        <v>180</v>
      </c>
      <c r="L88" s="22">
        <v>75</v>
      </c>
      <c r="M88" s="22" t="s">
        <v>115</v>
      </c>
    </row>
    <row r="89" spans="1:13" ht="16.5" customHeight="1" x14ac:dyDescent="0.45">
      <c r="A89" s="20" t="s">
        <v>305</v>
      </c>
      <c r="B89" s="20" t="s">
        <v>306</v>
      </c>
      <c r="C89" s="20" t="s">
        <v>147</v>
      </c>
      <c r="D89" s="20" t="s">
        <v>134</v>
      </c>
      <c r="E89" s="20" t="s">
        <v>135</v>
      </c>
      <c r="F89" s="20" t="s">
        <v>136</v>
      </c>
      <c r="G89" s="20" t="s">
        <v>113</v>
      </c>
      <c r="H89" s="20" t="s">
        <v>126</v>
      </c>
      <c r="I89" s="21">
        <v>156075.28</v>
      </c>
      <c r="J89" s="21">
        <v>4.91</v>
      </c>
      <c r="K89" s="20">
        <v>120</v>
      </c>
      <c r="L89" s="20">
        <v>41</v>
      </c>
      <c r="M89" s="20" t="s">
        <v>131</v>
      </c>
    </row>
    <row r="90" spans="1:13" ht="16.5" customHeight="1" x14ac:dyDescent="0.45">
      <c r="A90" s="22" t="s">
        <v>307</v>
      </c>
      <c r="B90" s="22" t="s">
        <v>271</v>
      </c>
      <c r="C90" s="22" t="s">
        <v>109</v>
      </c>
      <c r="D90" s="22" t="s">
        <v>129</v>
      </c>
      <c r="E90" s="22" t="s">
        <v>111</v>
      </c>
      <c r="F90" s="22" t="s">
        <v>112</v>
      </c>
      <c r="G90" s="22" t="s">
        <v>120</v>
      </c>
      <c r="H90" s="22" t="s">
        <v>126</v>
      </c>
      <c r="I90" s="23">
        <v>100150.09</v>
      </c>
      <c r="J90" s="23">
        <v>8.39</v>
      </c>
      <c r="K90" s="22">
        <v>180</v>
      </c>
      <c r="L90" s="22">
        <v>34</v>
      </c>
      <c r="M90" s="22" t="s">
        <v>131</v>
      </c>
    </row>
    <row r="91" spans="1:13" ht="16.5" customHeight="1" x14ac:dyDescent="0.45">
      <c r="A91" s="20" t="s">
        <v>308</v>
      </c>
      <c r="B91" s="20" t="s">
        <v>309</v>
      </c>
      <c r="C91" s="20" t="s">
        <v>176</v>
      </c>
      <c r="D91" s="20" t="s">
        <v>156</v>
      </c>
      <c r="E91" s="20" t="s">
        <v>111</v>
      </c>
      <c r="F91" s="20" t="s">
        <v>112</v>
      </c>
      <c r="G91" s="20" t="s">
        <v>113</v>
      </c>
      <c r="H91" s="20" t="s">
        <v>114</v>
      </c>
      <c r="I91" s="21">
        <v>35864.82</v>
      </c>
      <c r="J91" s="21">
        <v>7.84</v>
      </c>
      <c r="K91" s="20">
        <v>48</v>
      </c>
      <c r="L91" s="20">
        <v>45</v>
      </c>
      <c r="M91" s="20" t="s">
        <v>115</v>
      </c>
    </row>
    <row r="92" spans="1:13" ht="16.5" customHeight="1" x14ac:dyDescent="0.45">
      <c r="A92" s="22" t="s">
        <v>310</v>
      </c>
      <c r="B92" s="22" t="s">
        <v>311</v>
      </c>
      <c r="C92" s="22" t="s">
        <v>109</v>
      </c>
      <c r="D92" s="22" t="s">
        <v>159</v>
      </c>
      <c r="E92" s="22" t="s">
        <v>135</v>
      </c>
      <c r="F92" s="22" t="s">
        <v>136</v>
      </c>
      <c r="G92" s="22" t="s">
        <v>130</v>
      </c>
      <c r="H92" s="22" t="s">
        <v>121</v>
      </c>
      <c r="I92" s="23"/>
      <c r="J92" s="23">
        <v>13.26</v>
      </c>
      <c r="K92" s="22">
        <v>180</v>
      </c>
      <c r="L92" s="22">
        <v>59</v>
      </c>
      <c r="M92" s="22" t="s">
        <v>131</v>
      </c>
    </row>
    <row r="93" spans="1:13" ht="16.5" customHeight="1" x14ac:dyDescent="0.45">
      <c r="A93" s="20" t="s">
        <v>312</v>
      </c>
      <c r="B93" s="20" t="s">
        <v>313</v>
      </c>
      <c r="C93" s="20" t="s">
        <v>144</v>
      </c>
      <c r="D93" s="20" t="s">
        <v>110</v>
      </c>
      <c r="E93" s="20" t="s">
        <v>111</v>
      </c>
      <c r="F93" s="20" t="s">
        <v>112</v>
      </c>
      <c r="G93" s="20" t="s">
        <v>113</v>
      </c>
      <c r="H93" s="20" t="s">
        <v>114</v>
      </c>
      <c r="I93" s="21">
        <v>162722.74</v>
      </c>
      <c r="J93" s="21">
        <v>12.93</v>
      </c>
      <c r="K93" s="20">
        <v>60</v>
      </c>
      <c r="L93" s="20">
        <v>66</v>
      </c>
      <c r="M93" s="20" t="s">
        <v>131</v>
      </c>
    </row>
    <row r="94" spans="1:13" ht="16.5" customHeight="1" x14ac:dyDescent="0.45">
      <c r="A94" s="22" t="s">
        <v>314</v>
      </c>
      <c r="B94" s="22" t="s">
        <v>315</v>
      </c>
      <c r="C94" s="22" t="s">
        <v>144</v>
      </c>
      <c r="D94" s="22" t="s">
        <v>110</v>
      </c>
      <c r="E94" s="22" t="s">
        <v>111</v>
      </c>
      <c r="F94" s="22" t="s">
        <v>141</v>
      </c>
      <c r="G94" s="22" t="s">
        <v>113</v>
      </c>
      <c r="H94" s="22" t="s">
        <v>114</v>
      </c>
      <c r="I94" s="23">
        <v>134405.32999999999</v>
      </c>
      <c r="J94" s="23">
        <v>4.74</v>
      </c>
      <c r="K94" s="22">
        <v>60</v>
      </c>
      <c r="L94" s="22">
        <v>29</v>
      </c>
      <c r="M94" s="22" t="s">
        <v>131</v>
      </c>
    </row>
    <row r="95" spans="1:13" ht="16.5" customHeight="1" x14ac:dyDescent="0.45">
      <c r="A95" s="20" t="s">
        <v>316</v>
      </c>
      <c r="B95" s="20" t="s">
        <v>311</v>
      </c>
      <c r="C95" s="20" t="s">
        <v>144</v>
      </c>
      <c r="D95" s="20" t="s">
        <v>159</v>
      </c>
      <c r="E95" s="20" t="s">
        <v>135</v>
      </c>
      <c r="F95" s="20" t="s">
        <v>125</v>
      </c>
      <c r="G95" s="20" t="s">
        <v>120</v>
      </c>
      <c r="H95" s="20" t="s">
        <v>126</v>
      </c>
      <c r="I95" s="21">
        <v>130973.62</v>
      </c>
      <c r="J95" s="21">
        <v>12.93</v>
      </c>
      <c r="K95" s="20">
        <v>60</v>
      </c>
      <c r="L95" s="20">
        <v>54</v>
      </c>
      <c r="M95" s="20" t="s">
        <v>131</v>
      </c>
    </row>
    <row r="96" spans="1:13" ht="16.5" customHeight="1" x14ac:dyDescent="0.45">
      <c r="A96" s="22" t="s">
        <v>317</v>
      </c>
      <c r="B96" s="22" t="s">
        <v>318</v>
      </c>
      <c r="C96" s="22" t="s">
        <v>109</v>
      </c>
      <c r="D96" s="22" t="s">
        <v>129</v>
      </c>
      <c r="E96" s="22" t="s">
        <v>111</v>
      </c>
      <c r="F96" s="22" t="s">
        <v>112</v>
      </c>
      <c r="G96" s="22" t="s">
        <v>120</v>
      </c>
      <c r="H96" s="22" t="s">
        <v>121</v>
      </c>
      <c r="I96" s="23">
        <v>82473.69</v>
      </c>
      <c r="J96" s="23">
        <v>4.72</v>
      </c>
      <c r="K96" s="22">
        <v>48</v>
      </c>
      <c r="L96" s="22">
        <v>58</v>
      </c>
      <c r="M96" s="22" t="s">
        <v>115</v>
      </c>
    </row>
    <row r="97" spans="1:13" ht="16.5" customHeight="1" x14ac:dyDescent="0.45">
      <c r="A97" s="20" t="s">
        <v>319</v>
      </c>
      <c r="B97" s="20" t="s">
        <v>320</v>
      </c>
      <c r="C97" s="20" t="s">
        <v>176</v>
      </c>
      <c r="D97" s="20" t="s">
        <v>134</v>
      </c>
      <c r="E97" s="20" t="s">
        <v>135</v>
      </c>
      <c r="F97" s="20" t="s">
        <v>136</v>
      </c>
      <c r="G97" s="20" t="s">
        <v>113</v>
      </c>
      <c r="H97" s="20" t="s">
        <v>114</v>
      </c>
      <c r="I97" s="21">
        <v>179034.87</v>
      </c>
      <c r="J97" s="21">
        <v>7.96</v>
      </c>
      <c r="K97" s="20">
        <v>12</v>
      </c>
      <c r="L97" s="20">
        <v>52</v>
      </c>
      <c r="M97" s="20" t="s">
        <v>131</v>
      </c>
    </row>
    <row r="98" spans="1:13" ht="16.5" customHeight="1" x14ac:dyDescent="0.45">
      <c r="A98" s="22" t="s">
        <v>321</v>
      </c>
      <c r="B98" s="22" t="s">
        <v>322</v>
      </c>
      <c r="C98" s="22" t="s">
        <v>176</v>
      </c>
      <c r="D98" s="22" t="s">
        <v>129</v>
      </c>
      <c r="E98" s="22" t="s">
        <v>111</v>
      </c>
      <c r="F98" s="22" t="s">
        <v>125</v>
      </c>
      <c r="G98" s="22" t="s">
        <v>120</v>
      </c>
      <c r="H98" s="22" t="s">
        <v>126</v>
      </c>
      <c r="I98" s="23">
        <v>57669.37</v>
      </c>
      <c r="J98" s="23">
        <v>5.0999999999999996</v>
      </c>
      <c r="K98" s="22">
        <v>24</v>
      </c>
      <c r="L98" s="22">
        <v>62</v>
      </c>
      <c r="M98" s="22" t="s">
        <v>115</v>
      </c>
    </row>
    <row r="99" spans="1:13" ht="16.5" customHeight="1" x14ac:dyDescent="0.45">
      <c r="A99" s="20" t="s">
        <v>323</v>
      </c>
      <c r="B99" s="20" t="s">
        <v>151</v>
      </c>
      <c r="C99" s="20" t="s">
        <v>109</v>
      </c>
      <c r="D99" s="20" t="s">
        <v>163</v>
      </c>
      <c r="E99" s="20" t="s">
        <v>135</v>
      </c>
      <c r="F99" s="20" t="s">
        <v>141</v>
      </c>
      <c r="G99" s="20" t="s">
        <v>120</v>
      </c>
      <c r="H99" s="20" t="s">
        <v>121</v>
      </c>
      <c r="I99" s="21">
        <v>125159.63</v>
      </c>
      <c r="J99" s="21"/>
      <c r="K99" s="20">
        <v>6</v>
      </c>
      <c r="L99" s="20">
        <v>65</v>
      </c>
      <c r="M99" s="20" t="s">
        <v>131</v>
      </c>
    </row>
    <row r="100" spans="1:13" ht="16.5" customHeight="1" x14ac:dyDescent="0.45">
      <c r="A100" s="22" t="s">
        <v>324</v>
      </c>
      <c r="B100" s="22" t="s">
        <v>325</v>
      </c>
      <c r="C100" s="22" t="s">
        <v>144</v>
      </c>
      <c r="D100" s="22" t="s">
        <v>110</v>
      </c>
      <c r="E100" s="22" t="s">
        <v>111</v>
      </c>
      <c r="F100" s="22" t="s">
        <v>141</v>
      </c>
      <c r="G100" s="22" t="s">
        <v>113</v>
      </c>
      <c r="H100" s="22" t="s">
        <v>121</v>
      </c>
      <c r="I100" s="23">
        <v>195749.99</v>
      </c>
      <c r="J100" s="23">
        <v>12.76</v>
      </c>
      <c r="K100" s="22">
        <v>120</v>
      </c>
      <c r="L100" s="22">
        <v>68</v>
      </c>
      <c r="M100" s="22" t="s">
        <v>131</v>
      </c>
    </row>
    <row r="101" spans="1:13" ht="16.5" customHeight="1" x14ac:dyDescent="0.45">
      <c r="A101" s="20" t="s">
        <v>326</v>
      </c>
      <c r="B101" s="20" t="s">
        <v>327</v>
      </c>
      <c r="C101" s="20" t="s">
        <v>124</v>
      </c>
      <c r="D101" s="20" t="s">
        <v>129</v>
      </c>
      <c r="E101" s="20" t="s">
        <v>111</v>
      </c>
      <c r="F101" s="20" t="s">
        <v>141</v>
      </c>
      <c r="G101" s="20" t="s">
        <v>113</v>
      </c>
      <c r="H101" s="20" t="s">
        <v>114</v>
      </c>
      <c r="I101" s="21">
        <v>88365.2</v>
      </c>
      <c r="J101" s="21">
        <v>2.92</v>
      </c>
      <c r="K101" s="20">
        <v>48</v>
      </c>
      <c r="L101" s="20">
        <v>38</v>
      </c>
      <c r="M101" s="20" t="s">
        <v>115</v>
      </c>
    </row>
    <row r="102" spans="1:13" ht="16.5" customHeight="1" x14ac:dyDescent="0.45">
      <c r="A102" s="22" t="s">
        <v>328</v>
      </c>
      <c r="B102" s="22" t="s">
        <v>329</v>
      </c>
      <c r="C102" s="22" t="s">
        <v>176</v>
      </c>
      <c r="D102" s="22" t="s">
        <v>134</v>
      </c>
      <c r="E102" s="22" t="s">
        <v>135</v>
      </c>
      <c r="F102" s="22" t="s">
        <v>141</v>
      </c>
      <c r="G102" s="22" t="s">
        <v>120</v>
      </c>
      <c r="H102" s="22" t="s">
        <v>121</v>
      </c>
      <c r="I102" s="23">
        <v>75654.53</v>
      </c>
      <c r="J102" s="23">
        <v>3.63</v>
      </c>
      <c r="K102" s="22">
        <v>180</v>
      </c>
      <c r="L102" s="22">
        <v>36</v>
      </c>
      <c r="M102" s="22" t="s">
        <v>115</v>
      </c>
    </row>
    <row r="103" spans="1:13" ht="16.5" customHeight="1" x14ac:dyDescent="0.45">
      <c r="A103" s="20" t="s">
        <v>330</v>
      </c>
      <c r="B103" s="20" t="s">
        <v>331</v>
      </c>
      <c r="C103" s="20" t="s">
        <v>124</v>
      </c>
      <c r="D103" s="20" t="s">
        <v>139</v>
      </c>
      <c r="E103" s="20" t="s">
        <v>140</v>
      </c>
      <c r="F103" s="20" t="s">
        <v>136</v>
      </c>
      <c r="G103" s="20" t="s">
        <v>113</v>
      </c>
      <c r="H103" s="20" t="s">
        <v>114</v>
      </c>
      <c r="I103" s="21">
        <v>122920.91</v>
      </c>
      <c r="J103" s="21">
        <v>4.6500000000000004</v>
      </c>
      <c r="K103" s="20">
        <v>240</v>
      </c>
      <c r="L103" s="20">
        <v>59</v>
      </c>
      <c r="M103" s="20" t="s">
        <v>131</v>
      </c>
    </row>
    <row r="104" spans="1:13" ht="16.5" customHeight="1" x14ac:dyDescent="0.45">
      <c r="A104" s="22" t="s">
        <v>332</v>
      </c>
      <c r="B104" s="22" t="s">
        <v>333</v>
      </c>
      <c r="C104" s="22" t="s">
        <v>176</v>
      </c>
      <c r="D104" s="22" t="s">
        <v>159</v>
      </c>
      <c r="E104" s="22" t="s">
        <v>135</v>
      </c>
      <c r="F104" s="22" t="s">
        <v>112</v>
      </c>
      <c r="G104" s="22" t="s">
        <v>113</v>
      </c>
      <c r="H104" s="22" t="s">
        <v>114</v>
      </c>
      <c r="I104" s="23">
        <v>86422.63</v>
      </c>
      <c r="J104" s="23">
        <v>7.65</v>
      </c>
      <c r="K104" s="22">
        <v>36</v>
      </c>
      <c r="L104" s="22">
        <v>59</v>
      </c>
      <c r="M104" s="22" t="s">
        <v>115</v>
      </c>
    </row>
    <row r="105" spans="1:13" ht="16.5" customHeight="1" x14ac:dyDescent="0.45">
      <c r="A105" s="20" t="s">
        <v>334</v>
      </c>
      <c r="B105" s="20" t="s">
        <v>335</v>
      </c>
      <c r="C105" s="20" t="s">
        <v>109</v>
      </c>
      <c r="D105" s="20" t="s">
        <v>156</v>
      </c>
      <c r="E105" s="20" t="s">
        <v>111</v>
      </c>
      <c r="F105" s="20" t="s">
        <v>119</v>
      </c>
      <c r="G105" s="20" t="s">
        <v>120</v>
      </c>
      <c r="H105" s="20" t="s">
        <v>121</v>
      </c>
      <c r="I105" s="21">
        <v>237778.74</v>
      </c>
      <c r="J105" s="21">
        <v>3.05</v>
      </c>
      <c r="K105" s="20">
        <v>120</v>
      </c>
      <c r="L105" s="20">
        <v>38</v>
      </c>
      <c r="M105" s="20" t="s">
        <v>131</v>
      </c>
    </row>
    <row r="106" spans="1:13" ht="16.5" customHeight="1" x14ac:dyDescent="0.45">
      <c r="A106" s="22" t="s">
        <v>336</v>
      </c>
      <c r="B106" s="22" t="s">
        <v>337</v>
      </c>
      <c r="C106" s="22" t="s">
        <v>176</v>
      </c>
      <c r="D106" s="22" t="s">
        <v>159</v>
      </c>
      <c r="E106" s="22" t="s">
        <v>135</v>
      </c>
      <c r="F106" s="22" t="s">
        <v>125</v>
      </c>
      <c r="G106" s="22" t="s">
        <v>113</v>
      </c>
      <c r="H106" s="22" t="s">
        <v>126</v>
      </c>
      <c r="I106" s="23">
        <v>211360.26</v>
      </c>
      <c r="J106" s="23"/>
      <c r="K106" s="22">
        <v>120</v>
      </c>
      <c r="L106" s="22">
        <v>33</v>
      </c>
      <c r="M106" s="22" t="s">
        <v>131</v>
      </c>
    </row>
    <row r="107" spans="1:13" ht="16.5" customHeight="1" x14ac:dyDescent="0.45">
      <c r="A107" s="20" t="s">
        <v>338</v>
      </c>
      <c r="B107" s="20" t="s">
        <v>339</v>
      </c>
      <c r="C107" s="20" t="s">
        <v>147</v>
      </c>
      <c r="D107" s="20" t="s">
        <v>110</v>
      </c>
      <c r="E107" s="20" t="s">
        <v>111</v>
      </c>
      <c r="F107" s="20" t="s">
        <v>136</v>
      </c>
      <c r="G107" s="20" t="s">
        <v>113</v>
      </c>
      <c r="H107" s="20" t="s">
        <v>121</v>
      </c>
      <c r="I107" s="21">
        <v>56297.57</v>
      </c>
      <c r="J107" s="21">
        <v>7.33</v>
      </c>
      <c r="K107" s="20">
        <v>360</v>
      </c>
      <c r="L107" s="20">
        <v>39</v>
      </c>
      <c r="M107" s="20" t="s">
        <v>115</v>
      </c>
    </row>
    <row r="108" spans="1:13" ht="16.5" customHeight="1" x14ac:dyDescent="0.45">
      <c r="A108" s="22" t="s">
        <v>340</v>
      </c>
      <c r="B108" s="22" t="s">
        <v>341</v>
      </c>
      <c r="C108" s="22" t="s">
        <v>147</v>
      </c>
      <c r="D108" s="22" t="s">
        <v>159</v>
      </c>
      <c r="E108" s="22" t="s">
        <v>135</v>
      </c>
      <c r="F108" s="22" t="s">
        <v>125</v>
      </c>
      <c r="G108" s="22" t="s">
        <v>113</v>
      </c>
      <c r="H108" s="22" t="s">
        <v>126</v>
      </c>
      <c r="I108" s="23">
        <v>12498.44</v>
      </c>
      <c r="J108" s="23">
        <v>12.15</v>
      </c>
      <c r="K108" s="22">
        <v>120</v>
      </c>
      <c r="L108" s="22">
        <v>33</v>
      </c>
      <c r="M108" s="22" t="s">
        <v>189</v>
      </c>
    </row>
    <row r="109" spans="1:13" ht="16.5" customHeight="1" x14ac:dyDescent="0.45">
      <c r="A109" s="20" t="s">
        <v>342</v>
      </c>
      <c r="B109" s="20" t="s">
        <v>343</v>
      </c>
      <c r="C109" s="20" t="s">
        <v>144</v>
      </c>
      <c r="D109" s="20" t="s">
        <v>156</v>
      </c>
      <c r="E109" s="20" t="s">
        <v>111</v>
      </c>
      <c r="F109" s="20" t="s">
        <v>136</v>
      </c>
      <c r="G109" s="20" t="s">
        <v>113</v>
      </c>
      <c r="H109" s="20" t="s">
        <v>121</v>
      </c>
      <c r="I109" s="21">
        <v>100903.22</v>
      </c>
      <c r="J109" s="21">
        <v>7.65</v>
      </c>
      <c r="K109" s="20">
        <v>120</v>
      </c>
      <c r="L109" s="20">
        <v>51</v>
      </c>
      <c r="M109" s="20" t="s">
        <v>131</v>
      </c>
    </row>
    <row r="110" spans="1:13" ht="16.5" customHeight="1" x14ac:dyDescent="0.45">
      <c r="A110" s="22" t="s">
        <v>344</v>
      </c>
      <c r="B110" s="22" t="s">
        <v>269</v>
      </c>
      <c r="C110" s="22" t="s">
        <v>176</v>
      </c>
      <c r="D110" s="22" t="s">
        <v>118</v>
      </c>
      <c r="E110" s="22" t="s">
        <v>111</v>
      </c>
      <c r="F110" s="22" t="s">
        <v>136</v>
      </c>
      <c r="G110" s="22" t="s">
        <v>130</v>
      </c>
      <c r="H110" s="22" t="s">
        <v>126</v>
      </c>
      <c r="I110" s="23">
        <v>54320.95</v>
      </c>
      <c r="J110" s="23">
        <v>10.9</v>
      </c>
      <c r="K110" s="22">
        <v>240</v>
      </c>
      <c r="L110" s="22">
        <v>48</v>
      </c>
      <c r="M110" s="22" t="s">
        <v>115</v>
      </c>
    </row>
    <row r="111" spans="1:13" ht="16.5" customHeight="1" x14ac:dyDescent="0.45">
      <c r="A111" s="20" t="s">
        <v>345</v>
      </c>
      <c r="B111" s="20" t="s">
        <v>346</v>
      </c>
      <c r="C111" s="20" t="s">
        <v>124</v>
      </c>
      <c r="D111" s="20" t="s">
        <v>156</v>
      </c>
      <c r="E111" s="20" t="s">
        <v>111</v>
      </c>
      <c r="F111" s="20" t="s">
        <v>112</v>
      </c>
      <c r="G111" s="20" t="s">
        <v>113</v>
      </c>
      <c r="H111" s="20" t="s">
        <v>114</v>
      </c>
      <c r="I111" s="21">
        <v>74728.460000000006</v>
      </c>
      <c r="J111" s="21">
        <v>5.9</v>
      </c>
      <c r="K111" s="20">
        <v>120</v>
      </c>
      <c r="L111" s="20">
        <v>65</v>
      </c>
      <c r="M111" s="20" t="s">
        <v>115</v>
      </c>
    </row>
    <row r="112" spans="1:13" ht="16.5" customHeight="1" x14ac:dyDescent="0.45">
      <c r="A112" s="22" t="s">
        <v>347</v>
      </c>
      <c r="B112" s="22" t="s">
        <v>348</v>
      </c>
      <c r="C112" s="22" t="s">
        <v>109</v>
      </c>
      <c r="D112" s="22" t="s">
        <v>129</v>
      </c>
      <c r="E112" s="22" t="s">
        <v>111</v>
      </c>
      <c r="F112" s="22" t="s">
        <v>136</v>
      </c>
      <c r="G112" s="22" t="s">
        <v>113</v>
      </c>
      <c r="H112" s="22" t="s">
        <v>121</v>
      </c>
      <c r="I112" s="23">
        <v>58269.31</v>
      </c>
      <c r="J112" s="23">
        <v>2.81</v>
      </c>
      <c r="K112" s="22">
        <v>180</v>
      </c>
      <c r="L112" s="22">
        <v>59</v>
      </c>
      <c r="M112" s="22" t="s">
        <v>115</v>
      </c>
    </row>
    <row r="113" spans="1:13" ht="16.5" customHeight="1" x14ac:dyDescent="0.45">
      <c r="A113" s="20" t="s">
        <v>349</v>
      </c>
      <c r="B113" s="20" t="s">
        <v>350</v>
      </c>
      <c r="C113" s="20" t="s">
        <v>124</v>
      </c>
      <c r="D113" s="20" t="s">
        <v>163</v>
      </c>
      <c r="E113" s="20" t="s">
        <v>135</v>
      </c>
      <c r="F113" s="20" t="s">
        <v>141</v>
      </c>
      <c r="G113" s="20" t="s">
        <v>113</v>
      </c>
      <c r="H113" s="20" t="s">
        <v>126</v>
      </c>
      <c r="I113" s="21">
        <v>171599.37</v>
      </c>
      <c r="J113" s="21">
        <v>10.58</v>
      </c>
      <c r="K113" s="20">
        <v>60</v>
      </c>
      <c r="L113" s="20">
        <v>59</v>
      </c>
      <c r="M113" s="20" t="s">
        <v>131</v>
      </c>
    </row>
    <row r="114" spans="1:13" ht="16.5" customHeight="1" x14ac:dyDescent="0.45">
      <c r="A114" s="22" t="s">
        <v>351</v>
      </c>
      <c r="B114" s="22" t="s">
        <v>352</v>
      </c>
      <c r="C114" s="22" t="s">
        <v>144</v>
      </c>
      <c r="D114" s="22" t="s">
        <v>118</v>
      </c>
      <c r="E114" s="22" t="s">
        <v>111</v>
      </c>
      <c r="F114" s="22" t="s">
        <v>125</v>
      </c>
      <c r="G114" s="22" t="s">
        <v>113</v>
      </c>
      <c r="H114" s="22" t="s">
        <v>126</v>
      </c>
      <c r="I114" s="23">
        <v>233579.19</v>
      </c>
      <c r="J114" s="23">
        <v>4.9800000000000004</v>
      </c>
      <c r="K114" s="22">
        <v>60</v>
      </c>
      <c r="L114" s="22">
        <v>31</v>
      </c>
      <c r="M114" s="22" t="s">
        <v>131</v>
      </c>
    </row>
    <row r="115" spans="1:13" ht="16.5" customHeight="1" x14ac:dyDescent="0.45">
      <c r="A115" s="20" t="s">
        <v>353</v>
      </c>
      <c r="B115" s="20" t="s">
        <v>354</v>
      </c>
      <c r="C115" s="20" t="s">
        <v>124</v>
      </c>
      <c r="D115" s="20" t="s">
        <v>139</v>
      </c>
      <c r="E115" s="20" t="s">
        <v>140</v>
      </c>
      <c r="F115" s="20" t="s">
        <v>125</v>
      </c>
      <c r="G115" s="20" t="s">
        <v>113</v>
      </c>
      <c r="H115" s="20" t="s">
        <v>114</v>
      </c>
      <c r="I115" s="21">
        <v>159161.46</v>
      </c>
      <c r="J115" s="21">
        <v>7.16</v>
      </c>
      <c r="K115" s="20">
        <v>36</v>
      </c>
      <c r="L115" s="20">
        <v>42</v>
      </c>
      <c r="M115" s="20" t="s">
        <v>131</v>
      </c>
    </row>
    <row r="116" spans="1:13" ht="16.5" customHeight="1" x14ac:dyDescent="0.45">
      <c r="A116" s="22" t="s">
        <v>355</v>
      </c>
      <c r="B116" s="22" t="s">
        <v>329</v>
      </c>
      <c r="C116" s="22" t="s">
        <v>147</v>
      </c>
      <c r="D116" s="22" t="s">
        <v>156</v>
      </c>
      <c r="E116" s="22" t="s">
        <v>111</v>
      </c>
      <c r="F116" s="22" t="s">
        <v>141</v>
      </c>
      <c r="G116" s="22" t="s">
        <v>113</v>
      </c>
      <c r="H116" s="22" t="s">
        <v>121</v>
      </c>
      <c r="I116" s="23">
        <v>207985.53</v>
      </c>
      <c r="J116" s="23">
        <v>4.0999999999999996</v>
      </c>
      <c r="K116" s="22">
        <v>120</v>
      </c>
      <c r="L116" s="22">
        <v>51</v>
      </c>
      <c r="M116" s="22" t="s">
        <v>131</v>
      </c>
    </row>
    <row r="117" spans="1:13" ht="16.5" customHeight="1" x14ac:dyDescent="0.45">
      <c r="A117" s="20" t="s">
        <v>356</v>
      </c>
      <c r="B117" s="20" t="s">
        <v>346</v>
      </c>
      <c r="C117" s="20" t="s">
        <v>109</v>
      </c>
      <c r="D117" s="20" t="s">
        <v>110</v>
      </c>
      <c r="E117" s="20" t="s">
        <v>111</v>
      </c>
      <c r="F117" s="20" t="s">
        <v>112</v>
      </c>
      <c r="G117" s="20" t="s">
        <v>113</v>
      </c>
      <c r="H117" s="20" t="s">
        <v>121</v>
      </c>
      <c r="I117" s="21">
        <v>214763.43</v>
      </c>
      <c r="J117" s="21">
        <v>9.2100000000000009</v>
      </c>
      <c r="K117" s="20">
        <v>24</v>
      </c>
      <c r="L117" s="20">
        <v>53</v>
      </c>
      <c r="M117" s="20" t="s">
        <v>131</v>
      </c>
    </row>
    <row r="118" spans="1:13" ht="16.5" customHeight="1" x14ac:dyDescent="0.45">
      <c r="A118" s="22" t="s">
        <v>357</v>
      </c>
      <c r="B118" s="22" t="s">
        <v>358</v>
      </c>
      <c r="C118" s="22" t="s">
        <v>109</v>
      </c>
      <c r="D118" s="22" t="s">
        <v>134</v>
      </c>
      <c r="E118" s="22" t="s">
        <v>135</v>
      </c>
      <c r="F118" s="22" t="s">
        <v>125</v>
      </c>
      <c r="G118" s="22" t="s">
        <v>113</v>
      </c>
      <c r="H118" s="22" t="s">
        <v>121</v>
      </c>
      <c r="I118" s="23">
        <v>245629.42</v>
      </c>
      <c r="J118" s="23">
        <v>9.17</v>
      </c>
      <c r="K118" s="22">
        <v>6</v>
      </c>
      <c r="L118" s="22">
        <v>49</v>
      </c>
      <c r="M118" s="22" t="s">
        <v>131</v>
      </c>
    </row>
    <row r="119" spans="1:13" ht="16.5" customHeight="1" x14ac:dyDescent="0.45">
      <c r="A119" s="20" t="s">
        <v>359</v>
      </c>
      <c r="B119" s="20" t="s">
        <v>221</v>
      </c>
      <c r="C119" s="20" t="s">
        <v>176</v>
      </c>
      <c r="D119" s="20" t="s">
        <v>129</v>
      </c>
      <c r="E119" s="20" t="s">
        <v>111</v>
      </c>
      <c r="F119" s="20" t="s">
        <v>136</v>
      </c>
      <c r="G119" s="20" t="s">
        <v>120</v>
      </c>
      <c r="H119" s="20" t="s">
        <v>114</v>
      </c>
      <c r="I119" s="21">
        <v>53626.720000000001</v>
      </c>
      <c r="J119" s="21">
        <v>4.01</v>
      </c>
      <c r="K119" s="20">
        <v>6</v>
      </c>
      <c r="L119" s="20">
        <v>72</v>
      </c>
      <c r="M119" s="20" t="s">
        <v>115</v>
      </c>
    </row>
    <row r="120" spans="1:13" ht="16.5" customHeight="1" x14ac:dyDescent="0.45">
      <c r="A120" s="22" t="s">
        <v>360</v>
      </c>
      <c r="B120" s="22" t="s">
        <v>361</v>
      </c>
      <c r="C120" s="22" t="s">
        <v>109</v>
      </c>
      <c r="D120" s="22" t="s">
        <v>129</v>
      </c>
      <c r="E120" s="22" t="s">
        <v>111</v>
      </c>
      <c r="F120" s="22" t="s">
        <v>125</v>
      </c>
      <c r="G120" s="22" t="s">
        <v>113</v>
      </c>
      <c r="H120" s="22" t="s">
        <v>126</v>
      </c>
      <c r="I120" s="23">
        <v>55053.93</v>
      </c>
      <c r="J120" s="23">
        <v>12.84</v>
      </c>
      <c r="K120" s="22">
        <v>60</v>
      </c>
      <c r="L120" s="22">
        <v>64</v>
      </c>
      <c r="M120" s="22" t="s">
        <v>115</v>
      </c>
    </row>
    <row r="121" spans="1:13" ht="16.5" customHeight="1" x14ac:dyDescent="0.45">
      <c r="A121" s="20" t="s">
        <v>362</v>
      </c>
      <c r="B121" s="20" t="s">
        <v>267</v>
      </c>
      <c r="C121" s="20" t="s">
        <v>147</v>
      </c>
      <c r="D121" s="20" t="s">
        <v>159</v>
      </c>
      <c r="E121" s="20" t="s">
        <v>135</v>
      </c>
      <c r="F121" s="20" t="s">
        <v>119</v>
      </c>
      <c r="G121" s="20" t="s">
        <v>130</v>
      </c>
      <c r="H121" s="20" t="s">
        <v>114</v>
      </c>
      <c r="I121" s="21">
        <v>151507.57</v>
      </c>
      <c r="J121" s="21">
        <v>13.98</v>
      </c>
      <c r="K121" s="20">
        <v>180</v>
      </c>
      <c r="L121" s="20">
        <v>52</v>
      </c>
      <c r="M121" s="20" t="s">
        <v>131</v>
      </c>
    </row>
    <row r="122" spans="1:13" ht="16.5" customHeight="1" x14ac:dyDescent="0.45">
      <c r="A122" s="22" t="s">
        <v>363</v>
      </c>
      <c r="B122" s="22" t="s">
        <v>364</v>
      </c>
      <c r="C122" s="22" t="s">
        <v>109</v>
      </c>
      <c r="D122" s="22" t="s">
        <v>139</v>
      </c>
      <c r="E122" s="22" t="s">
        <v>140</v>
      </c>
      <c r="F122" s="22" t="s">
        <v>112</v>
      </c>
      <c r="G122" s="22" t="s">
        <v>130</v>
      </c>
      <c r="H122" s="22" t="s">
        <v>114</v>
      </c>
      <c r="I122" s="23">
        <v>47820.58</v>
      </c>
      <c r="J122" s="23">
        <v>11.11</v>
      </c>
      <c r="K122" s="22">
        <v>60</v>
      </c>
      <c r="L122" s="22">
        <v>23</v>
      </c>
      <c r="M122" s="22" t="s">
        <v>115</v>
      </c>
    </row>
    <row r="123" spans="1:13" ht="16.5" customHeight="1" x14ac:dyDescent="0.45">
      <c r="A123" s="20" t="s">
        <v>365</v>
      </c>
      <c r="B123" s="20" t="s">
        <v>341</v>
      </c>
      <c r="C123" s="20" t="s">
        <v>147</v>
      </c>
      <c r="D123" s="20" t="s">
        <v>134</v>
      </c>
      <c r="E123" s="20" t="s">
        <v>135</v>
      </c>
      <c r="F123" s="20" t="s">
        <v>141</v>
      </c>
      <c r="G123" s="20" t="s">
        <v>113</v>
      </c>
      <c r="H123" s="20" t="s">
        <v>121</v>
      </c>
      <c r="I123" s="21">
        <v>148109.14000000001</v>
      </c>
      <c r="J123" s="21">
        <v>13.16</v>
      </c>
      <c r="K123" s="20">
        <v>24</v>
      </c>
      <c r="L123" s="20">
        <v>45</v>
      </c>
      <c r="M123" s="20" t="s">
        <v>131</v>
      </c>
    </row>
    <row r="124" spans="1:13" ht="16.5" customHeight="1" x14ac:dyDescent="0.45">
      <c r="A124" s="22" t="s">
        <v>366</v>
      </c>
      <c r="B124" s="22" t="s">
        <v>367</v>
      </c>
      <c r="C124" s="22" t="s">
        <v>109</v>
      </c>
      <c r="D124" s="22" t="s">
        <v>139</v>
      </c>
      <c r="E124" s="22" t="s">
        <v>140</v>
      </c>
      <c r="F124" s="22" t="s">
        <v>112</v>
      </c>
      <c r="G124" s="22" t="s">
        <v>130</v>
      </c>
      <c r="H124" s="22" t="s">
        <v>126</v>
      </c>
      <c r="I124" s="23">
        <v>121427.67</v>
      </c>
      <c r="J124" s="23">
        <v>10.81</v>
      </c>
      <c r="K124" s="22">
        <v>6</v>
      </c>
      <c r="L124" s="22">
        <v>30</v>
      </c>
      <c r="M124" s="22" t="s">
        <v>131</v>
      </c>
    </row>
    <row r="125" spans="1:13" ht="16.5" customHeight="1" x14ac:dyDescent="0.45">
      <c r="A125" s="20" t="s">
        <v>368</v>
      </c>
      <c r="B125" s="20" t="s">
        <v>210</v>
      </c>
      <c r="C125" s="20" t="s">
        <v>176</v>
      </c>
      <c r="D125" s="20" t="s">
        <v>129</v>
      </c>
      <c r="E125" s="20" t="s">
        <v>111</v>
      </c>
      <c r="F125" s="20" t="s">
        <v>141</v>
      </c>
      <c r="G125" s="20" t="s">
        <v>113</v>
      </c>
      <c r="H125" s="20" t="s">
        <v>121</v>
      </c>
      <c r="I125" s="21">
        <v>29127.26</v>
      </c>
      <c r="J125" s="21">
        <v>5.87</v>
      </c>
      <c r="K125" s="20">
        <v>240</v>
      </c>
      <c r="L125" s="20">
        <v>48</v>
      </c>
      <c r="M125" s="20" t="s">
        <v>115</v>
      </c>
    </row>
    <row r="126" spans="1:13" ht="16.5" customHeight="1" x14ac:dyDescent="0.45">
      <c r="A126" s="22" t="s">
        <v>369</v>
      </c>
      <c r="B126" s="22" t="s">
        <v>370</v>
      </c>
      <c r="C126" s="22" t="s">
        <v>211</v>
      </c>
      <c r="D126" s="22" t="s">
        <v>134</v>
      </c>
      <c r="E126" s="22" t="s">
        <v>135</v>
      </c>
      <c r="F126" s="22" t="s">
        <v>119</v>
      </c>
      <c r="G126" s="22" t="s">
        <v>113</v>
      </c>
      <c r="H126" s="22" t="s">
        <v>114</v>
      </c>
      <c r="I126" s="23">
        <v>151408.57</v>
      </c>
      <c r="J126" s="23">
        <v>8.01</v>
      </c>
      <c r="K126" s="22">
        <v>240</v>
      </c>
      <c r="L126" s="22">
        <v>48</v>
      </c>
      <c r="M126" s="22" t="s">
        <v>131</v>
      </c>
    </row>
    <row r="127" spans="1:13" ht="16.5" customHeight="1" x14ac:dyDescent="0.45">
      <c r="A127" s="20" t="s">
        <v>371</v>
      </c>
      <c r="B127" s="20" t="s">
        <v>372</v>
      </c>
      <c r="C127" s="20" t="s">
        <v>147</v>
      </c>
      <c r="D127" s="20" t="s">
        <v>134</v>
      </c>
      <c r="E127" s="20" t="s">
        <v>135</v>
      </c>
      <c r="F127" s="20" t="s">
        <v>112</v>
      </c>
      <c r="G127" s="20" t="s">
        <v>113</v>
      </c>
      <c r="H127" s="20" t="s">
        <v>126</v>
      </c>
      <c r="I127" s="21">
        <v>79603.13</v>
      </c>
      <c r="J127" s="21">
        <v>11.33</v>
      </c>
      <c r="K127" s="20">
        <v>36</v>
      </c>
      <c r="L127" s="20">
        <v>38</v>
      </c>
      <c r="M127" s="20" t="s">
        <v>115</v>
      </c>
    </row>
    <row r="128" spans="1:13" ht="16.5" customHeight="1" x14ac:dyDescent="0.45">
      <c r="A128" s="22" t="s">
        <v>373</v>
      </c>
      <c r="B128" s="22" t="s">
        <v>374</v>
      </c>
      <c r="C128" s="22" t="s">
        <v>144</v>
      </c>
      <c r="D128" s="22" t="s">
        <v>110</v>
      </c>
      <c r="E128" s="22" t="s">
        <v>111</v>
      </c>
      <c r="F128" s="22" t="s">
        <v>125</v>
      </c>
      <c r="G128" s="22" t="s">
        <v>130</v>
      </c>
      <c r="H128" s="22" t="s">
        <v>114</v>
      </c>
      <c r="I128" s="23">
        <v>61316.75</v>
      </c>
      <c r="J128" s="23">
        <v>7.47</v>
      </c>
      <c r="K128" s="22">
        <v>240</v>
      </c>
      <c r="L128" s="22">
        <v>48</v>
      </c>
      <c r="M128" s="22" t="s">
        <v>115</v>
      </c>
    </row>
    <row r="129" spans="1:13" ht="16.5" customHeight="1" x14ac:dyDescent="0.45">
      <c r="A129" s="20" t="s">
        <v>375</v>
      </c>
      <c r="B129" s="20" t="s">
        <v>376</v>
      </c>
      <c r="C129" s="20" t="s">
        <v>144</v>
      </c>
      <c r="D129" s="20" t="s">
        <v>159</v>
      </c>
      <c r="E129" s="20" t="s">
        <v>135</v>
      </c>
      <c r="F129" s="20" t="s">
        <v>119</v>
      </c>
      <c r="G129" s="20" t="s">
        <v>113</v>
      </c>
      <c r="H129" s="20" t="s">
        <v>121</v>
      </c>
      <c r="I129" s="21">
        <v>60685.13</v>
      </c>
      <c r="J129" s="21">
        <v>5.52</v>
      </c>
      <c r="K129" s="20">
        <v>6</v>
      </c>
      <c r="L129" s="20">
        <v>57</v>
      </c>
      <c r="M129" s="20" t="s">
        <v>115</v>
      </c>
    </row>
    <row r="130" spans="1:13" ht="16.5" customHeight="1" x14ac:dyDescent="0.45">
      <c r="A130" s="22" t="s">
        <v>377</v>
      </c>
      <c r="B130" s="22" t="s">
        <v>378</v>
      </c>
      <c r="C130" s="22" t="s">
        <v>147</v>
      </c>
      <c r="D130" s="22" t="s">
        <v>163</v>
      </c>
      <c r="E130" s="22" t="s">
        <v>135</v>
      </c>
      <c r="F130" s="22" t="s">
        <v>112</v>
      </c>
      <c r="G130" s="22" t="s">
        <v>113</v>
      </c>
      <c r="H130" s="22" t="s">
        <v>121</v>
      </c>
      <c r="I130" s="23">
        <v>57594.71</v>
      </c>
      <c r="J130" s="23">
        <v>11.11</v>
      </c>
      <c r="K130" s="22">
        <v>180</v>
      </c>
      <c r="L130" s="22">
        <v>26</v>
      </c>
      <c r="M130" s="22" t="s">
        <v>115</v>
      </c>
    </row>
    <row r="131" spans="1:13" ht="16.5" customHeight="1" x14ac:dyDescent="0.45">
      <c r="A131" s="20" t="s">
        <v>379</v>
      </c>
      <c r="B131" s="20" t="s">
        <v>380</v>
      </c>
      <c r="C131" s="20" t="s">
        <v>147</v>
      </c>
      <c r="D131" s="20" t="s">
        <v>129</v>
      </c>
      <c r="E131" s="20" t="s">
        <v>111</v>
      </c>
      <c r="F131" s="20" t="s">
        <v>119</v>
      </c>
      <c r="G131" s="20" t="s">
        <v>113</v>
      </c>
      <c r="H131" s="20" t="s">
        <v>114</v>
      </c>
      <c r="I131" s="21">
        <v>112005.75999999999</v>
      </c>
      <c r="J131" s="21">
        <v>5.17</v>
      </c>
      <c r="K131" s="20">
        <v>120</v>
      </c>
      <c r="L131" s="20">
        <v>37</v>
      </c>
      <c r="M131" s="20" t="s">
        <v>131</v>
      </c>
    </row>
    <row r="132" spans="1:13" ht="16.5" customHeight="1" x14ac:dyDescent="0.45">
      <c r="A132" s="22" t="s">
        <v>381</v>
      </c>
      <c r="B132" s="22" t="s">
        <v>294</v>
      </c>
      <c r="C132" s="22" t="s">
        <v>144</v>
      </c>
      <c r="D132" s="22" t="s">
        <v>134</v>
      </c>
      <c r="E132" s="22" t="s">
        <v>135</v>
      </c>
      <c r="F132" s="22" t="s">
        <v>125</v>
      </c>
      <c r="G132" s="22" t="s">
        <v>130</v>
      </c>
      <c r="H132" s="22" t="s">
        <v>126</v>
      </c>
      <c r="I132" s="23">
        <v>175607.82</v>
      </c>
      <c r="J132" s="23"/>
      <c r="K132" s="22">
        <v>60</v>
      </c>
      <c r="L132" s="22">
        <v>25</v>
      </c>
      <c r="M132" s="22" t="s">
        <v>131</v>
      </c>
    </row>
    <row r="133" spans="1:13" ht="16.5" customHeight="1" x14ac:dyDescent="0.45">
      <c r="A133" s="20" t="s">
        <v>382</v>
      </c>
      <c r="B133" s="20" t="s">
        <v>383</v>
      </c>
      <c r="C133" s="20" t="s">
        <v>124</v>
      </c>
      <c r="D133" s="20" t="s">
        <v>163</v>
      </c>
      <c r="E133" s="20" t="s">
        <v>135</v>
      </c>
      <c r="F133" s="20" t="s">
        <v>141</v>
      </c>
      <c r="G133" s="20" t="s">
        <v>130</v>
      </c>
      <c r="H133" s="20" t="s">
        <v>121</v>
      </c>
      <c r="I133" s="21">
        <v>163562.26</v>
      </c>
      <c r="J133" s="21">
        <v>7.91</v>
      </c>
      <c r="K133" s="20">
        <v>360</v>
      </c>
      <c r="L133" s="20">
        <v>34</v>
      </c>
      <c r="M133" s="20" t="s">
        <v>131</v>
      </c>
    </row>
    <row r="134" spans="1:13" ht="16.5" customHeight="1" x14ac:dyDescent="0.45">
      <c r="A134" s="22" t="s">
        <v>384</v>
      </c>
      <c r="B134" s="22" t="s">
        <v>296</v>
      </c>
      <c r="C134" s="22" t="s">
        <v>147</v>
      </c>
      <c r="D134" s="22" t="s">
        <v>134</v>
      </c>
      <c r="E134" s="22" t="s">
        <v>135</v>
      </c>
      <c r="F134" s="22" t="s">
        <v>112</v>
      </c>
      <c r="G134" s="22" t="s">
        <v>120</v>
      </c>
      <c r="H134" s="22" t="s">
        <v>121</v>
      </c>
      <c r="I134" s="23">
        <v>182489.66</v>
      </c>
      <c r="J134" s="23">
        <v>9.11</v>
      </c>
      <c r="K134" s="22">
        <v>360</v>
      </c>
      <c r="L134" s="22">
        <v>63</v>
      </c>
      <c r="M134" s="22" t="s">
        <v>131</v>
      </c>
    </row>
    <row r="135" spans="1:13" ht="16.5" customHeight="1" x14ac:dyDescent="0.45">
      <c r="A135" s="20" t="s">
        <v>385</v>
      </c>
      <c r="B135" s="20" t="s">
        <v>221</v>
      </c>
      <c r="C135" s="20" t="s">
        <v>147</v>
      </c>
      <c r="D135" s="20" t="s">
        <v>139</v>
      </c>
      <c r="E135" s="20" t="s">
        <v>140</v>
      </c>
      <c r="F135" s="20" t="s">
        <v>119</v>
      </c>
      <c r="G135" s="20" t="s">
        <v>130</v>
      </c>
      <c r="H135" s="20" t="s">
        <v>114</v>
      </c>
      <c r="I135" s="21">
        <v>52847.73</v>
      </c>
      <c r="J135" s="21">
        <v>7.34</v>
      </c>
      <c r="K135" s="20">
        <v>6</v>
      </c>
      <c r="L135" s="20">
        <v>33</v>
      </c>
      <c r="M135" s="20" t="s">
        <v>115</v>
      </c>
    </row>
    <row r="136" spans="1:13" ht="16.5" customHeight="1" x14ac:dyDescent="0.45">
      <c r="A136" s="22" t="s">
        <v>386</v>
      </c>
      <c r="B136" s="22" t="s">
        <v>361</v>
      </c>
      <c r="C136" s="22" t="s">
        <v>144</v>
      </c>
      <c r="D136" s="22" t="s">
        <v>118</v>
      </c>
      <c r="E136" s="22" t="s">
        <v>111</v>
      </c>
      <c r="F136" s="22" t="s">
        <v>136</v>
      </c>
      <c r="G136" s="22" t="s">
        <v>130</v>
      </c>
      <c r="H136" s="22" t="s">
        <v>121</v>
      </c>
      <c r="I136" s="23">
        <v>109087.66</v>
      </c>
      <c r="J136" s="23">
        <v>12.78</v>
      </c>
      <c r="K136" s="22">
        <v>180</v>
      </c>
      <c r="L136" s="22">
        <v>75</v>
      </c>
      <c r="M136" s="22" t="s">
        <v>131</v>
      </c>
    </row>
    <row r="137" spans="1:13" ht="16.5" customHeight="1" x14ac:dyDescent="0.45">
      <c r="A137" s="20" t="s">
        <v>387</v>
      </c>
      <c r="B137" s="20" t="s">
        <v>388</v>
      </c>
      <c r="C137" s="20" t="s">
        <v>147</v>
      </c>
      <c r="D137" s="20" t="s">
        <v>129</v>
      </c>
      <c r="E137" s="20" t="s">
        <v>111</v>
      </c>
      <c r="F137" s="20" t="s">
        <v>125</v>
      </c>
      <c r="G137" s="20" t="s">
        <v>130</v>
      </c>
      <c r="H137" s="20" t="s">
        <v>126</v>
      </c>
      <c r="I137" s="21">
        <v>214799.34</v>
      </c>
      <c r="J137" s="21">
        <v>5.25</v>
      </c>
      <c r="K137" s="20">
        <v>12</v>
      </c>
      <c r="L137" s="20">
        <v>73</v>
      </c>
      <c r="M137" s="20" t="s">
        <v>131</v>
      </c>
    </row>
    <row r="138" spans="1:13" ht="16.5" customHeight="1" x14ac:dyDescent="0.45">
      <c r="A138" s="22" t="s">
        <v>389</v>
      </c>
      <c r="B138" s="22" t="s">
        <v>390</v>
      </c>
      <c r="C138" s="22" t="s">
        <v>144</v>
      </c>
      <c r="D138" s="22" t="s">
        <v>139</v>
      </c>
      <c r="E138" s="22" t="s">
        <v>140</v>
      </c>
      <c r="F138" s="22" t="s">
        <v>141</v>
      </c>
      <c r="G138" s="22" t="s">
        <v>391</v>
      </c>
      <c r="H138" s="22" t="s">
        <v>121</v>
      </c>
      <c r="I138" s="23">
        <v>145495.17000000001</v>
      </c>
      <c r="J138" s="23">
        <v>12.18</v>
      </c>
      <c r="K138" s="22">
        <v>48</v>
      </c>
      <c r="L138" s="22">
        <v>35</v>
      </c>
      <c r="M138" s="22" t="s">
        <v>131</v>
      </c>
    </row>
    <row r="139" spans="1:13" ht="16.5" customHeight="1" x14ac:dyDescent="0.45">
      <c r="A139" s="20" t="s">
        <v>392</v>
      </c>
      <c r="B139" s="20" t="s">
        <v>393</v>
      </c>
      <c r="C139" s="20" t="s">
        <v>147</v>
      </c>
      <c r="D139" s="20" t="s">
        <v>156</v>
      </c>
      <c r="E139" s="20" t="s">
        <v>111</v>
      </c>
      <c r="F139" s="20" t="s">
        <v>136</v>
      </c>
      <c r="G139" s="20" t="s">
        <v>113</v>
      </c>
      <c r="H139" s="20" t="s">
        <v>114</v>
      </c>
      <c r="I139" s="21">
        <v>120497.77</v>
      </c>
      <c r="J139" s="21">
        <v>8.44</v>
      </c>
      <c r="K139" s="20">
        <v>360</v>
      </c>
      <c r="L139" s="20">
        <v>65</v>
      </c>
      <c r="M139" s="20" t="s">
        <v>131</v>
      </c>
    </row>
    <row r="140" spans="1:13" ht="16.5" customHeight="1" x14ac:dyDescent="0.45">
      <c r="A140" s="22" t="s">
        <v>394</v>
      </c>
      <c r="B140" s="22" t="s">
        <v>395</v>
      </c>
      <c r="C140" s="22" t="s">
        <v>124</v>
      </c>
      <c r="D140" s="22" t="s">
        <v>156</v>
      </c>
      <c r="E140" s="22" t="s">
        <v>111</v>
      </c>
      <c r="F140" s="22" t="s">
        <v>141</v>
      </c>
      <c r="G140" s="22" t="s">
        <v>113</v>
      </c>
      <c r="H140" s="22" t="s">
        <v>114</v>
      </c>
      <c r="I140" s="23">
        <v>43481.25</v>
      </c>
      <c r="J140" s="23">
        <v>10.86</v>
      </c>
      <c r="K140" s="22">
        <v>12</v>
      </c>
      <c r="L140" s="22">
        <v>38</v>
      </c>
      <c r="M140" s="22" t="s">
        <v>115</v>
      </c>
    </row>
    <row r="141" spans="1:13" ht="16.5" customHeight="1" x14ac:dyDescent="0.45">
      <c r="A141" s="20" t="s">
        <v>396</v>
      </c>
      <c r="B141" s="20" t="s">
        <v>388</v>
      </c>
      <c r="C141" s="20" t="s">
        <v>229</v>
      </c>
      <c r="D141" s="20" t="s">
        <v>159</v>
      </c>
      <c r="E141" s="20" t="s">
        <v>135</v>
      </c>
      <c r="F141" s="20" t="s">
        <v>141</v>
      </c>
      <c r="G141" s="20" t="s">
        <v>113</v>
      </c>
      <c r="H141" s="20" t="s">
        <v>114</v>
      </c>
      <c r="I141" s="21">
        <v>172162.58</v>
      </c>
      <c r="J141" s="21">
        <v>10.199999999999999</v>
      </c>
      <c r="K141" s="20">
        <v>12</v>
      </c>
      <c r="L141" s="20">
        <v>48</v>
      </c>
      <c r="M141" s="20" t="s">
        <v>131</v>
      </c>
    </row>
    <row r="142" spans="1:13" ht="16.5" customHeight="1" x14ac:dyDescent="0.45">
      <c r="A142" s="22" t="s">
        <v>397</v>
      </c>
      <c r="B142" s="22" t="s">
        <v>398</v>
      </c>
      <c r="C142" s="22" t="s">
        <v>147</v>
      </c>
      <c r="D142" s="22" t="s">
        <v>139</v>
      </c>
      <c r="E142" s="22" t="s">
        <v>140</v>
      </c>
      <c r="F142" s="22" t="s">
        <v>125</v>
      </c>
      <c r="G142" s="22" t="s">
        <v>120</v>
      </c>
      <c r="H142" s="22" t="s">
        <v>114</v>
      </c>
      <c r="I142" s="23">
        <v>204617.24</v>
      </c>
      <c r="J142" s="23">
        <v>8.09</v>
      </c>
      <c r="K142" s="22">
        <v>36</v>
      </c>
      <c r="L142" s="22">
        <v>74</v>
      </c>
      <c r="M142" s="22" t="s">
        <v>131</v>
      </c>
    </row>
    <row r="143" spans="1:13" ht="16.5" customHeight="1" x14ac:dyDescent="0.45">
      <c r="A143" s="20" t="s">
        <v>399</v>
      </c>
      <c r="B143" s="20" t="s">
        <v>400</v>
      </c>
      <c r="C143" s="20" t="s">
        <v>147</v>
      </c>
      <c r="D143" s="20" t="s">
        <v>139</v>
      </c>
      <c r="E143" s="20" t="s">
        <v>140</v>
      </c>
      <c r="F143" s="20" t="s">
        <v>141</v>
      </c>
      <c r="G143" s="20" t="s">
        <v>113</v>
      </c>
      <c r="H143" s="20" t="s">
        <v>114</v>
      </c>
      <c r="I143" s="21">
        <v>159061.09</v>
      </c>
      <c r="J143" s="21">
        <v>13.62</v>
      </c>
      <c r="K143" s="20">
        <v>360</v>
      </c>
      <c r="L143" s="20">
        <v>52</v>
      </c>
      <c r="M143" s="20" t="s">
        <v>131</v>
      </c>
    </row>
    <row r="144" spans="1:13" ht="16.5" customHeight="1" x14ac:dyDescent="0.45">
      <c r="A144" s="22" t="s">
        <v>401</v>
      </c>
      <c r="B144" s="22" t="s">
        <v>402</v>
      </c>
      <c r="C144" s="22" t="s">
        <v>229</v>
      </c>
      <c r="D144" s="22" t="s">
        <v>156</v>
      </c>
      <c r="E144" s="22" t="s">
        <v>111</v>
      </c>
      <c r="F144" s="22" t="s">
        <v>141</v>
      </c>
      <c r="G144" s="22" t="s">
        <v>113</v>
      </c>
      <c r="H144" s="22" t="s">
        <v>114</v>
      </c>
      <c r="I144" s="23">
        <v>108280.01</v>
      </c>
      <c r="J144" s="23">
        <v>10.71</v>
      </c>
      <c r="K144" s="22">
        <v>36</v>
      </c>
      <c r="L144" s="22">
        <v>29</v>
      </c>
      <c r="M144" s="22" t="s">
        <v>131</v>
      </c>
    </row>
    <row r="145" spans="1:13" ht="16.5" customHeight="1" x14ac:dyDescent="0.45">
      <c r="A145" s="20" t="s">
        <v>403</v>
      </c>
      <c r="B145" s="20" t="s">
        <v>404</v>
      </c>
      <c r="C145" s="20" t="s">
        <v>144</v>
      </c>
      <c r="D145" s="20" t="s">
        <v>156</v>
      </c>
      <c r="E145" s="20" t="s">
        <v>111</v>
      </c>
      <c r="F145" s="20" t="s">
        <v>141</v>
      </c>
      <c r="G145" s="20" t="s">
        <v>113</v>
      </c>
      <c r="H145" s="20" t="s">
        <v>121</v>
      </c>
      <c r="I145" s="21">
        <v>148705.71</v>
      </c>
      <c r="J145" s="21">
        <v>12.74</v>
      </c>
      <c r="K145" s="20">
        <v>24</v>
      </c>
      <c r="L145" s="20">
        <v>36</v>
      </c>
      <c r="M145" s="20" t="s">
        <v>131</v>
      </c>
    </row>
    <row r="146" spans="1:13" ht="16.5" customHeight="1" x14ac:dyDescent="0.45">
      <c r="A146" s="22" t="s">
        <v>405</v>
      </c>
      <c r="B146" s="22" t="s">
        <v>406</v>
      </c>
      <c r="C146" s="22" t="s">
        <v>176</v>
      </c>
      <c r="D146" s="22" t="s">
        <v>134</v>
      </c>
      <c r="E146" s="22" t="s">
        <v>135</v>
      </c>
      <c r="F146" s="22" t="s">
        <v>112</v>
      </c>
      <c r="G146" s="22" t="s">
        <v>113</v>
      </c>
      <c r="H146" s="22" t="s">
        <v>121</v>
      </c>
      <c r="I146" s="23">
        <v>201616.04</v>
      </c>
      <c r="J146" s="23">
        <v>5.78</v>
      </c>
      <c r="K146" s="22">
        <v>48</v>
      </c>
      <c r="L146" s="22">
        <v>48</v>
      </c>
      <c r="M146" s="22" t="s">
        <v>131</v>
      </c>
    </row>
    <row r="147" spans="1:13" ht="16.5" customHeight="1" x14ac:dyDescent="0.45">
      <c r="A147" s="20" t="s">
        <v>407</v>
      </c>
      <c r="B147" s="20" t="s">
        <v>408</v>
      </c>
      <c r="C147" s="20" t="s">
        <v>144</v>
      </c>
      <c r="D147" s="20" t="s">
        <v>118</v>
      </c>
      <c r="E147" s="20" t="s">
        <v>111</v>
      </c>
      <c r="F147" s="20" t="s">
        <v>119</v>
      </c>
      <c r="G147" s="20" t="s">
        <v>120</v>
      </c>
      <c r="H147" s="20" t="s">
        <v>126</v>
      </c>
      <c r="I147" s="21">
        <v>12565.96</v>
      </c>
      <c r="J147" s="21">
        <v>5.63</v>
      </c>
      <c r="K147" s="20">
        <v>180</v>
      </c>
      <c r="L147" s="20">
        <v>22</v>
      </c>
      <c r="M147" s="20" t="s">
        <v>189</v>
      </c>
    </row>
    <row r="148" spans="1:13" ht="16.5" customHeight="1" x14ac:dyDescent="0.45">
      <c r="A148" s="22" t="s">
        <v>409</v>
      </c>
      <c r="B148" s="22" t="s">
        <v>410</v>
      </c>
      <c r="C148" s="22" t="s">
        <v>109</v>
      </c>
      <c r="D148" s="22" t="s">
        <v>139</v>
      </c>
      <c r="E148" s="22" t="s">
        <v>140</v>
      </c>
      <c r="F148" s="22" t="s">
        <v>119</v>
      </c>
      <c r="G148" s="22" t="s">
        <v>113</v>
      </c>
      <c r="H148" s="22" t="s">
        <v>121</v>
      </c>
      <c r="I148" s="23">
        <v>233831.79</v>
      </c>
      <c r="J148" s="23">
        <v>6.61</v>
      </c>
      <c r="K148" s="22">
        <v>24</v>
      </c>
      <c r="L148" s="22">
        <v>34</v>
      </c>
      <c r="M148" s="22" t="s">
        <v>131</v>
      </c>
    </row>
    <row r="149" spans="1:13" ht="16.5" customHeight="1" x14ac:dyDescent="0.45">
      <c r="A149" s="20" t="s">
        <v>411</v>
      </c>
      <c r="B149" s="20" t="s">
        <v>296</v>
      </c>
      <c r="C149" s="20" t="s">
        <v>109</v>
      </c>
      <c r="D149" s="20" t="s">
        <v>163</v>
      </c>
      <c r="E149" s="20" t="s">
        <v>135</v>
      </c>
      <c r="F149" s="20" t="s">
        <v>141</v>
      </c>
      <c r="G149" s="20" t="s">
        <v>113</v>
      </c>
      <c r="H149" s="20" t="s">
        <v>114</v>
      </c>
      <c r="I149" s="21">
        <v>29717.4</v>
      </c>
      <c r="J149" s="21">
        <v>4.49</v>
      </c>
      <c r="K149" s="20">
        <v>180</v>
      </c>
      <c r="L149" s="20">
        <v>40</v>
      </c>
      <c r="M149" s="20" t="s">
        <v>115</v>
      </c>
    </row>
    <row r="150" spans="1:13" ht="16.5" customHeight="1" x14ac:dyDescent="0.45">
      <c r="A150" s="22" t="s">
        <v>412</v>
      </c>
      <c r="B150" s="22" t="s">
        <v>376</v>
      </c>
      <c r="C150" s="22" t="s">
        <v>109</v>
      </c>
      <c r="D150" s="22" t="s">
        <v>163</v>
      </c>
      <c r="E150" s="22" t="s">
        <v>135</v>
      </c>
      <c r="F150" s="22" t="s">
        <v>141</v>
      </c>
      <c r="G150" s="22" t="s">
        <v>113</v>
      </c>
      <c r="H150" s="22" t="s">
        <v>121</v>
      </c>
      <c r="I150" s="23">
        <v>44150.52</v>
      </c>
      <c r="J150" s="23">
        <v>3.3</v>
      </c>
      <c r="K150" s="22">
        <v>240</v>
      </c>
      <c r="L150" s="22">
        <v>70</v>
      </c>
      <c r="M150" s="22" t="s">
        <v>115</v>
      </c>
    </row>
    <row r="151" spans="1:13" ht="16.5" customHeight="1" x14ac:dyDescent="0.45">
      <c r="A151" s="20" t="s">
        <v>413</v>
      </c>
      <c r="B151" s="20" t="s">
        <v>414</v>
      </c>
      <c r="C151" s="20" t="s">
        <v>144</v>
      </c>
      <c r="D151" s="20" t="s">
        <v>129</v>
      </c>
      <c r="E151" s="20" t="s">
        <v>111</v>
      </c>
      <c r="F151" s="20" t="s">
        <v>136</v>
      </c>
      <c r="G151" s="20" t="s">
        <v>113</v>
      </c>
      <c r="H151" s="20" t="s">
        <v>126</v>
      </c>
      <c r="I151" s="21">
        <v>111035.02</v>
      </c>
      <c r="J151" s="21">
        <v>9.07</v>
      </c>
      <c r="K151" s="20">
        <v>240</v>
      </c>
      <c r="L151" s="20">
        <v>33</v>
      </c>
      <c r="M151" s="20" t="s">
        <v>131</v>
      </c>
    </row>
    <row r="152" spans="1:13" ht="16.5" customHeight="1" x14ac:dyDescent="0.45">
      <c r="A152" s="22" t="s">
        <v>415</v>
      </c>
      <c r="B152" s="22" t="s">
        <v>416</v>
      </c>
      <c r="C152" s="22" t="s">
        <v>124</v>
      </c>
      <c r="D152" s="22" t="s">
        <v>139</v>
      </c>
      <c r="E152" s="22" t="s">
        <v>140</v>
      </c>
      <c r="F152" s="22" t="s">
        <v>112</v>
      </c>
      <c r="G152" s="22" t="s">
        <v>113</v>
      </c>
      <c r="H152" s="22" t="s">
        <v>121</v>
      </c>
      <c r="I152" s="23">
        <v>15672.05</v>
      </c>
      <c r="J152" s="23">
        <v>6.12</v>
      </c>
      <c r="K152" s="22">
        <v>6</v>
      </c>
      <c r="L152" s="22">
        <v>40</v>
      </c>
      <c r="M152" s="22" t="s">
        <v>189</v>
      </c>
    </row>
    <row r="153" spans="1:13" ht="16.5" customHeight="1" x14ac:dyDescent="0.45">
      <c r="A153" s="20" t="s">
        <v>417</v>
      </c>
      <c r="B153" s="20" t="s">
        <v>418</v>
      </c>
      <c r="C153" s="20" t="s">
        <v>109</v>
      </c>
      <c r="D153" s="20" t="s">
        <v>129</v>
      </c>
      <c r="E153" s="20" t="s">
        <v>111</v>
      </c>
      <c r="F153" s="20" t="s">
        <v>141</v>
      </c>
      <c r="G153" s="20" t="s">
        <v>113</v>
      </c>
      <c r="H153" s="20" t="s">
        <v>114</v>
      </c>
      <c r="I153" s="21">
        <v>204183.95</v>
      </c>
      <c r="J153" s="21">
        <v>4.59</v>
      </c>
      <c r="K153" s="20">
        <v>12</v>
      </c>
      <c r="L153" s="20">
        <v>53</v>
      </c>
      <c r="M153" s="20" t="s">
        <v>131</v>
      </c>
    </row>
    <row r="154" spans="1:13" ht="16.5" customHeight="1" x14ac:dyDescent="0.45">
      <c r="A154" s="22" t="s">
        <v>419</v>
      </c>
      <c r="B154" s="22" t="s">
        <v>420</v>
      </c>
      <c r="C154" s="22" t="s">
        <v>124</v>
      </c>
      <c r="D154" s="22" t="s">
        <v>110</v>
      </c>
      <c r="E154" s="22" t="s">
        <v>111</v>
      </c>
      <c r="F154" s="22" t="s">
        <v>136</v>
      </c>
      <c r="G154" s="22" t="s">
        <v>113</v>
      </c>
      <c r="H154" s="22" t="s">
        <v>121</v>
      </c>
      <c r="I154" s="23">
        <v>36923.15</v>
      </c>
      <c r="J154" s="23">
        <v>11.16</v>
      </c>
      <c r="K154" s="22">
        <v>360</v>
      </c>
      <c r="L154" s="22">
        <v>73</v>
      </c>
      <c r="M154" s="22" t="s">
        <v>115</v>
      </c>
    </row>
    <row r="155" spans="1:13" ht="16.5" customHeight="1" x14ac:dyDescent="0.45">
      <c r="A155" s="20" t="s">
        <v>421</v>
      </c>
      <c r="B155" s="20" t="s">
        <v>422</v>
      </c>
      <c r="C155" s="20" t="s">
        <v>109</v>
      </c>
      <c r="D155" s="20" t="s">
        <v>129</v>
      </c>
      <c r="E155" s="20" t="s">
        <v>111</v>
      </c>
      <c r="F155" s="20" t="s">
        <v>119</v>
      </c>
      <c r="G155" s="20" t="s">
        <v>113</v>
      </c>
      <c r="H155" s="20" t="s">
        <v>126</v>
      </c>
      <c r="I155" s="21">
        <v>227542.42</v>
      </c>
      <c r="J155" s="21">
        <v>2.91</v>
      </c>
      <c r="K155" s="20">
        <v>48</v>
      </c>
      <c r="L155" s="20">
        <v>37</v>
      </c>
      <c r="M155" s="20" t="s">
        <v>131</v>
      </c>
    </row>
    <row r="156" spans="1:13" ht="16.5" customHeight="1" x14ac:dyDescent="0.45">
      <c r="A156" s="22" t="s">
        <v>423</v>
      </c>
      <c r="B156" s="22" t="s">
        <v>306</v>
      </c>
      <c r="C156" s="22" t="s">
        <v>424</v>
      </c>
      <c r="D156" s="22" t="s">
        <v>110</v>
      </c>
      <c r="E156" s="22" t="s">
        <v>111</v>
      </c>
      <c r="F156" s="22" t="s">
        <v>125</v>
      </c>
      <c r="G156" s="22" t="s">
        <v>113</v>
      </c>
      <c r="H156" s="22" t="s">
        <v>121</v>
      </c>
      <c r="I156" s="23">
        <v>217806.4</v>
      </c>
      <c r="J156" s="23">
        <v>13.08</v>
      </c>
      <c r="K156" s="22">
        <v>48</v>
      </c>
      <c r="L156" s="22">
        <v>62</v>
      </c>
      <c r="M156" s="22" t="s">
        <v>131</v>
      </c>
    </row>
    <row r="157" spans="1:13" ht="16.5" customHeight="1" x14ac:dyDescent="0.45">
      <c r="A157" s="20" t="s">
        <v>425</v>
      </c>
      <c r="B157" s="20" t="s">
        <v>426</v>
      </c>
      <c r="C157" s="20" t="s">
        <v>147</v>
      </c>
      <c r="D157" s="20" t="s">
        <v>118</v>
      </c>
      <c r="E157" s="20" t="s">
        <v>111</v>
      </c>
      <c r="F157" s="20" t="s">
        <v>112</v>
      </c>
      <c r="G157" s="20" t="s">
        <v>113</v>
      </c>
      <c r="H157" s="20" t="s">
        <v>121</v>
      </c>
      <c r="I157" s="21">
        <v>82035.44</v>
      </c>
      <c r="J157" s="21">
        <v>8.06</v>
      </c>
      <c r="K157" s="20">
        <v>48</v>
      </c>
      <c r="L157" s="20">
        <v>42</v>
      </c>
      <c r="M157" s="20" t="s">
        <v>115</v>
      </c>
    </row>
    <row r="158" spans="1:13" ht="16.5" customHeight="1" x14ac:dyDescent="0.45">
      <c r="A158" s="22" t="s">
        <v>427</v>
      </c>
      <c r="B158" s="22" t="s">
        <v>428</v>
      </c>
      <c r="C158" s="22" t="s">
        <v>176</v>
      </c>
      <c r="D158" s="22" t="s">
        <v>129</v>
      </c>
      <c r="E158" s="22" t="s">
        <v>111</v>
      </c>
      <c r="F158" s="22" t="s">
        <v>119</v>
      </c>
      <c r="G158" s="22" t="s">
        <v>113</v>
      </c>
      <c r="H158" s="22" t="s">
        <v>121</v>
      </c>
      <c r="I158" s="23">
        <v>122258.04</v>
      </c>
      <c r="J158" s="23">
        <v>8.65</v>
      </c>
      <c r="K158" s="22">
        <v>12</v>
      </c>
      <c r="L158" s="22">
        <v>65</v>
      </c>
      <c r="M158" s="22" t="s">
        <v>131</v>
      </c>
    </row>
    <row r="159" spans="1:13" ht="16.5" customHeight="1" x14ac:dyDescent="0.45">
      <c r="A159" s="20" t="s">
        <v>429</v>
      </c>
      <c r="B159" s="20" t="s">
        <v>430</v>
      </c>
      <c r="C159" s="20" t="s">
        <v>124</v>
      </c>
      <c r="D159" s="20" t="s">
        <v>118</v>
      </c>
      <c r="E159" s="20" t="s">
        <v>111</v>
      </c>
      <c r="F159" s="20" t="s">
        <v>141</v>
      </c>
      <c r="G159" s="20" t="s">
        <v>391</v>
      </c>
      <c r="H159" s="20" t="s">
        <v>114</v>
      </c>
      <c r="I159" s="21"/>
      <c r="J159" s="21">
        <v>10.96</v>
      </c>
      <c r="K159" s="20">
        <v>240</v>
      </c>
      <c r="L159" s="20">
        <v>37</v>
      </c>
      <c r="M159" s="20" t="s">
        <v>115</v>
      </c>
    </row>
    <row r="160" spans="1:13" ht="16.5" customHeight="1" x14ac:dyDescent="0.45">
      <c r="A160" s="22" t="s">
        <v>431</v>
      </c>
      <c r="B160" s="22" t="s">
        <v>271</v>
      </c>
      <c r="C160" s="22" t="s">
        <v>144</v>
      </c>
      <c r="D160" s="22" t="s">
        <v>110</v>
      </c>
      <c r="E160" s="22" t="s">
        <v>111</v>
      </c>
      <c r="F160" s="22" t="s">
        <v>141</v>
      </c>
      <c r="G160" s="22" t="s">
        <v>113</v>
      </c>
      <c r="H160" s="22" t="s">
        <v>114</v>
      </c>
      <c r="I160" s="23">
        <v>26779.06</v>
      </c>
      <c r="J160" s="23">
        <v>7.62</v>
      </c>
      <c r="K160" s="22">
        <v>360</v>
      </c>
      <c r="L160" s="22">
        <v>56</v>
      </c>
      <c r="M160" s="22" t="s">
        <v>115</v>
      </c>
    </row>
    <row r="161" spans="1:13" ht="16.5" customHeight="1" x14ac:dyDescent="0.45">
      <c r="A161" s="20" t="s">
        <v>432</v>
      </c>
      <c r="B161" s="20" t="s">
        <v>221</v>
      </c>
      <c r="C161" s="20" t="s">
        <v>124</v>
      </c>
      <c r="D161" s="20" t="s">
        <v>110</v>
      </c>
      <c r="E161" s="20" t="s">
        <v>111</v>
      </c>
      <c r="F161" s="20" t="s">
        <v>141</v>
      </c>
      <c r="G161" s="20" t="s">
        <v>113</v>
      </c>
      <c r="H161" s="20" t="s">
        <v>126</v>
      </c>
      <c r="I161" s="21">
        <v>78414.23</v>
      </c>
      <c r="J161" s="21">
        <v>2.96</v>
      </c>
      <c r="K161" s="20">
        <v>6</v>
      </c>
      <c r="L161" s="20">
        <v>57</v>
      </c>
      <c r="M161" s="20" t="s">
        <v>115</v>
      </c>
    </row>
    <row r="162" spans="1:13" ht="16.5" customHeight="1" x14ac:dyDescent="0.45">
      <c r="A162" s="22" t="s">
        <v>433</v>
      </c>
      <c r="B162" s="22" t="s">
        <v>434</v>
      </c>
      <c r="C162" s="22" t="s">
        <v>109</v>
      </c>
      <c r="D162" s="22" t="s">
        <v>129</v>
      </c>
      <c r="E162" s="22" t="s">
        <v>111</v>
      </c>
      <c r="F162" s="22" t="s">
        <v>112</v>
      </c>
      <c r="G162" s="22" t="s">
        <v>130</v>
      </c>
      <c r="H162" s="22" t="s">
        <v>114</v>
      </c>
      <c r="I162" s="23">
        <v>173281.67</v>
      </c>
      <c r="J162" s="23">
        <v>3.32</v>
      </c>
      <c r="K162" s="22">
        <v>36</v>
      </c>
      <c r="L162" s="22">
        <v>66</v>
      </c>
      <c r="M162" s="22" t="s">
        <v>131</v>
      </c>
    </row>
    <row r="163" spans="1:13" ht="16.5" customHeight="1" x14ac:dyDescent="0.45">
      <c r="A163" s="20" t="s">
        <v>435</v>
      </c>
      <c r="B163" s="20" t="s">
        <v>436</v>
      </c>
      <c r="C163" s="20" t="s">
        <v>124</v>
      </c>
      <c r="D163" s="20" t="s">
        <v>163</v>
      </c>
      <c r="E163" s="20" t="s">
        <v>135</v>
      </c>
      <c r="F163" s="20" t="s">
        <v>125</v>
      </c>
      <c r="G163" s="20" t="s">
        <v>120</v>
      </c>
      <c r="H163" s="20" t="s">
        <v>114</v>
      </c>
      <c r="I163" s="21">
        <v>205554.33</v>
      </c>
      <c r="J163" s="21">
        <v>11.93</v>
      </c>
      <c r="K163" s="20">
        <v>12</v>
      </c>
      <c r="L163" s="20">
        <v>73</v>
      </c>
      <c r="M163" s="20" t="s">
        <v>131</v>
      </c>
    </row>
    <row r="164" spans="1:13" ht="16.5" customHeight="1" x14ac:dyDescent="0.45">
      <c r="A164" s="22" t="s">
        <v>437</v>
      </c>
      <c r="B164" s="22" t="s">
        <v>169</v>
      </c>
      <c r="C164" s="22" t="s">
        <v>176</v>
      </c>
      <c r="D164" s="22" t="s">
        <v>139</v>
      </c>
      <c r="E164" s="22" t="s">
        <v>140</v>
      </c>
      <c r="F164" s="22" t="s">
        <v>119</v>
      </c>
      <c r="G164" s="22" t="s">
        <v>113</v>
      </c>
      <c r="H164" s="22" t="s">
        <v>126</v>
      </c>
      <c r="I164" s="23">
        <v>167044.38</v>
      </c>
      <c r="J164" s="23">
        <v>2.98</v>
      </c>
      <c r="K164" s="22">
        <v>120</v>
      </c>
      <c r="L164" s="22">
        <v>41</v>
      </c>
      <c r="M164" s="22" t="s">
        <v>131</v>
      </c>
    </row>
    <row r="165" spans="1:13" ht="16.5" customHeight="1" x14ac:dyDescent="0.45">
      <c r="A165" s="20" t="s">
        <v>438</v>
      </c>
      <c r="B165" s="20" t="s">
        <v>208</v>
      </c>
      <c r="C165" s="20" t="s">
        <v>144</v>
      </c>
      <c r="D165" s="20" t="s">
        <v>159</v>
      </c>
      <c r="E165" s="20" t="s">
        <v>135</v>
      </c>
      <c r="F165" s="20" t="s">
        <v>136</v>
      </c>
      <c r="G165" s="20" t="s">
        <v>113</v>
      </c>
      <c r="H165" s="20" t="s">
        <v>126</v>
      </c>
      <c r="I165" s="21">
        <v>99739.78</v>
      </c>
      <c r="J165" s="21">
        <v>10.57</v>
      </c>
      <c r="K165" s="20">
        <v>12</v>
      </c>
      <c r="L165" s="20">
        <v>64</v>
      </c>
      <c r="M165" s="20" t="s">
        <v>115</v>
      </c>
    </row>
    <row r="166" spans="1:13" ht="16.5" customHeight="1" x14ac:dyDescent="0.45">
      <c r="A166" s="22" t="s">
        <v>439</v>
      </c>
      <c r="B166" s="22" t="s">
        <v>440</v>
      </c>
      <c r="C166" s="22" t="s">
        <v>176</v>
      </c>
      <c r="D166" s="22" t="s">
        <v>110</v>
      </c>
      <c r="E166" s="22" t="s">
        <v>111</v>
      </c>
      <c r="F166" s="22" t="s">
        <v>141</v>
      </c>
      <c r="G166" s="22" t="s">
        <v>120</v>
      </c>
      <c r="H166" s="22" t="s">
        <v>121</v>
      </c>
      <c r="I166" s="23">
        <v>207853.97</v>
      </c>
      <c r="J166" s="23">
        <v>3.86</v>
      </c>
      <c r="K166" s="22">
        <v>60</v>
      </c>
      <c r="L166" s="22">
        <v>65</v>
      </c>
      <c r="M166" s="22" t="s">
        <v>131</v>
      </c>
    </row>
    <row r="167" spans="1:13" ht="16.5" customHeight="1" x14ac:dyDescent="0.45">
      <c r="A167" s="20" t="s">
        <v>441</v>
      </c>
      <c r="B167" s="20" t="s">
        <v>250</v>
      </c>
      <c r="C167" s="20" t="s">
        <v>144</v>
      </c>
      <c r="D167" s="20" t="s">
        <v>110</v>
      </c>
      <c r="E167" s="20" t="s">
        <v>111</v>
      </c>
      <c r="F167" s="20" t="s">
        <v>112</v>
      </c>
      <c r="G167" s="20" t="s">
        <v>113</v>
      </c>
      <c r="H167" s="20" t="s">
        <v>126</v>
      </c>
      <c r="I167" s="21">
        <v>109103.27</v>
      </c>
      <c r="J167" s="21">
        <v>13.93</v>
      </c>
      <c r="K167" s="20">
        <v>6</v>
      </c>
      <c r="L167" s="20">
        <v>68</v>
      </c>
      <c r="M167" s="20" t="s">
        <v>131</v>
      </c>
    </row>
    <row r="168" spans="1:13" ht="16.5" customHeight="1" x14ac:dyDescent="0.45">
      <c r="A168" s="22" t="s">
        <v>442</v>
      </c>
      <c r="B168" s="22" t="s">
        <v>443</v>
      </c>
      <c r="C168" s="22" t="s">
        <v>147</v>
      </c>
      <c r="D168" s="22" t="s">
        <v>159</v>
      </c>
      <c r="E168" s="22" t="s">
        <v>135</v>
      </c>
      <c r="F168" s="22" t="s">
        <v>119</v>
      </c>
      <c r="G168" s="22" t="s">
        <v>113</v>
      </c>
      <c r="H168" s="22" t="s">
        <v>114</v>
      </c>
      <c r="I168" s="23">
        <v>55182.89</v>
      </c>
      <c r="J168" s="23">
        <v>10.01</v>
      </c>
      <c r="K168" s="22">
        <v>48</v>
      </c>
      <c r="L168" s="22">
        <v>27</v>
      </c>
      <c r="M168" s="22" t="s">
        <v>115</v>
      </c>
    </row>
    <row r="169" spans="1:13" ht="16.5" customHeight="1" x14ac:dyDescent="0.45">
      <c r="A169" s="20" t="s">
        <v>444</v>
      </c>
      <c r="B169" s="20" t="s">
        <v>445</v>
      </c>
      <c r="C169" s="20" t="s">
        <v>229</v>
      </c>
      <c r="D169" s="20" t="s">
        <v>159</v>
      </c>
      <c r="E169" s="20" t="s">
        <v>135</v>
      </c>
      <c r="F169" s="20" t="s">
        <v>136</v>
      </c>
      <c r="G169" s="20" t="s">
        <v>113</v>
      </c>
      <c r="H169" s="20" t="s">
        <v>114</v>
      </c>
      <c r="I169" s="21">
        <v>199534.75</v>
      </c>
      <c r="J169" s="21">
        <v>9.1</v>
      </c>
      <c r="K169" s="20">
        <v>120</v>
      </c>
      <c r="L169" s="20">
        <v>64</v>
      </c>
      <c r="M169" s="20" t="s">
        <v>131</v>
      </c>
    </row>
    <row r="170" spans="1:13" ht="16.5" customHeight="1" x14ac:dyDescent="0.45">
      <c r="A170" s="22" t="s">
        <v>446</v>
      </c>
      <c r="B170" s="22" t="s">
        <v>290</v>
      </c>
      <c r="C170" s="22" t="s">
        <v>147</v>
      </c>
      <c r="D170" s="22" t="s">
        <v>159</v>
      </c>
      <c r="E170" s="22" t="s">
        <v>135</v>
      </c>
      <c r="F170" s="22" t="s">
        <v>119</v>
      </c>
      <c r="G170" s="22" t="s">
        <v>130</v>
      </c>
      <c r="H170" s="22" t="s">
        <v>126</v>
      </c>
      <c r="I170" s="23">
        <v>241610.25</v>
      </c>
      <c r="J170" s="23">
        <v>12.95</v>
      </c>
      <c r="K170" s="22">
        <v>120</v>
      </c>
      <c r="L170" s="22">
        <v>37</v>
      </c>
      <c r="M170" s="22" t="s">
        <v>131</v>
      </c>
    </row>
    <row r="171" spans="1:13" ht="16.5" customHeight="1" x14ac:dyDescent="0.45">
      <c r="A171" s="20" t="s">
        <v>447</v>
      </c>
      <c r="B171" s="20" t="s">
        <v>448</v>
      </c>
      <c r="C171" s="20" t="s">
        <v>109</v>
      </c>
      <c r="D171" s="20" t="s">
        <v>129</v>
      </c>
      <c r="E171" s="20" t="s">
        <v>111</v>
      </c>
      <c r="F171" s="20" t="s">
        <v>125</v>
      </c>
      <c r="G171" s="20" t="s">
        <v>113</v>
      </c>
      <c r="H171" s="20" t="s">
        <v>114</v>
      </c>
      <c r="I171" s="21">
        <v>189369.2</v>
      </c>
      <c r="J171" s="21">
        <v>11.99</v>
      </c>
      <c r="K171" s="20">
        <v>360</v>
      </c>
      <c r="L171" s="20">
        <v>44</v>
      </c>
      <c r="M171" s="20" t="s">
        <v>131</v>
      </c>
    </row>
    <row r="172" spans="1:13" ht="16.5" customHeight="1" x14ac:dyDescent="0.45">
      <c r="A172" s="22" t="s">
        <v>449</v>
      </c>
      <c r="B172" s="22" t="s">
        <v>346</v>
      </c>
      <c r="C172" s="22" t="s">
        <v>144</v>
      </c>
      <c r="D172" s="22" t="s">
        <v>156</v>
      </c>
      <c r="E172" s="22" t="s">
        <v>111</v>
      </c>
      <c r="F172" s="22" t="s">
        <v>141</v>
      </c>
      <c r="G172" s="22" t="s">
        <v>120</v>
      </c>
      <c r="H172" s="22" t="s">
        <v>114</v>
      </c>
      <c r="I172" s="23">
        <v>164079.41</v>
      </c>
      <c r="J172" s="23"/>
      <c r="K172" s="22">
        <v>180</v>
      </c>
      <c r="L172" s="22">
        <v>66</v>
      </c>
      <c r="M172" s="22" t="s">
        <v>131</v>
      </c>
    </row>
    <row r="173" spans="1:13" ht="16.5" customHeight="1" x14ac:dyDescent="0.45">
      <c r="A173" s="20" t="s">
        <v>450</v>
      </c>
      <c r="B173" s="20" t="s">
        <v>451</v>
      </c>
      <c r="C173" s="20" t="s">
        <v>147</v>
      </c>
      <c r="D173" s="20" t="s">
        <v>134</v>
      </c>
      <c r="E173" s="20" t="s">
        <v>135</v>
      </c>
      <c r="F173" s="20" t="s">
        <v>141</v>
      </c>
      <c r="G173" s="20" t="s">
        <v>113</v>
      </c>
      <c r="H173" s="20" t="s">
        <v>121</v>
      </c>
      <c r="I173" s="21">
        <v>197720.31</v>
      </c>
      <c r="J173" s="21">
        <v>9.14</v>
      </c>
      <c r="K173" s="20">
        <v>12</v>
      </c>
      <c r="L173" s="20">
        <v>40</v>
      </c>
      <c r="M173" s="20" t="s">
        <v>131</v>
      </c>
    </row>
    <row r="174" spans="1:13" ht="16.5" customHeight="1" x14ac:dyDescent="0.45">
      <c r="A174" s="22" t="s">
        <v>452</v>
      </c>
      <c r="B174" s="22" t="s">
        <v>169</v>
      </c>
      <c r="C174" s="22" t="s">
        <v>176</v>
      </c>
      <c r="D174" s="22" t="s">
        <v>163</v>
      </c>
      <c r="E174" s="22" t="s">
        <v>135</v>
      </c>
      <c r="F174" s="22" t="s">
        <v>141</v>
      </c>
      <c r="G174" s="22" t="s">
        <v>113</v>
      </c>
      <c r="H174" s="22" t="s">
        <v>121</v>
      </c>
      <c r="I174" s="23">
        <v>59394.2</v>
      </c>
      <c r="J174" s="23">
        <v>2.99</v>
      </c>
      <c r="K174" s="22">
        <v>48</v>
      </c>
      <c r="L174" s="22">
        <v>33</v>
      </c>
      <c r="M174" s="22" t="s">
        <v>115</v>
      </c>
    </row>
    <row r="175" spans="1:13" ht="16.5" customHeight="1" x14ac:dyDescent="0.45">
      <c r="A175" s="20" t="s">
        <v>453</v>
      </c>
      <c r="B175" s="20" t="s">
        <v>454</v>
      </c>
      <c r="C175" s="20" t="s">
        <v>109</v>
      </c>
      <c r="D175" s="20" t="s">
        <v>156</v>
      </c>
      <c r="E175" s="20" t="s">
        <v>111</v>
      </c>
      <c r="F175" s="20" t="s">
        <v>112</v>
      </c>
      <c r="G175" s="20" t="s">
        <v>113</v>
      </c>
      <c r="H175" s="20" t="s">
        <v>114</v>
      </c>
      <c r="I175" s="21">
        <v>121750.16</v>
      </c>
      <c r="J175" s="21">
        <v>4.66</v>
      </c>
      <c r="K175" s="20">
        <v>60</v>
      </c>
      <c r="L175" s="20">
        <v>50</v>
      </c>
      <c r="M175" s="20" t="s">
        <v>131</v>
      </c>
    </row>
    <row r="176" spans="1:13" ht="16.5" customHeight="1" x14ac:dyDescent="0.45">
      <c r="A176" s="22" t="s">
        <v>455</v>
      </c>
      <c r="B176" s="22" t="s">
        <v>456</v>
      </c>
      <c r="C176" s="22" t="s">
        <v>144</v>
      </c>
      <c r="D176" s="22" t="s">
        <v>118</v>
      </c>
      <c r="E176" s="22" t="s">
        <v>111</v>
      </c>
      <c r="F176" s="22" t="s">
        <v>112</v>
      </c>
      <c r="G176" s="22" t="s">
        <v>130</v>
      </c>
      <c r="H176" s="22" t="s">
        <v>121</v>
      </c>
      <c r="I176" s="23">
        <v>44846.69</v>
      </c>
      <c r="J176" s="23">
        <v>5.36</v>
      </c>
      <c r="K176" s="22">
        <v>180</v>
      </c>
      <c r="L176" s="22">
        <v>56</v>
      </c>
      <c r="M176" s="22" t="s">
        <v>115</v>
      </c>
    </row>
    <row r="177" spans="1:13" ht="16.5" customHeight="1" x14ac:dyDescent="0.45">
      <c r="A177" s="20" t="s">
        <v>457</v>
      </c>
      <c r="B177" s="20" t="s">
        <v>325</v>
      </c>
      <c r="C177" s="20" t="s">
        <v>176</v>
      </c>
      <c r="D177" s="20" t="s">
        <v>134</v>
      </c>
      <c r="E177" s="20" t="s">
        <v>135</v>
      </c>
      <c r="F177" s="20" t="s">
        <v>125</v>
      </c>
      <c r="G177" s="20" t="s">
        <v>113</v>
      </c>
      <c r="H177" s="20" t="s">
        <v>121</v>
      </c>
      <c r="I177" s="21">
        <v>223665.27</v>
      </c>
      <c r="J177" s="21">
        <v>13.18</v>
      </c>
      <c r="K177" s="20">
        <v>240</v>
      </c>
      <c r="L177" s="20">
        <v>28</v>
      </c>
      <c r="M177" s="20" t="s">
        <v>131</v>
      </c>
    </row>
    <row r="178" spans="1:13" ht="16.5" customHeight="1" x14ac:dyDescent="0.45">
      <c r="A178" s="22" t="s">
        <v>458</v>
      </c>
      <c r="B178" s="22" t="s">
        <v>459</v>
      </c>
      <c r="C178" s="22" t="s">
        <v>124</v>
      </c>
      <c r="D178" s="22" t="s">
        <v>110</v>
      </c>
      <c r="E178" s="22" t="s">
        <v>111</v>
      </c>
      <c r="F178" s="22" t="s">
        <v>125</v>
      </c>
      <c r="G178" s="22" t="s">
        <v>113</v>
      </c>
      <c r="H178" s="22" t="s">
        <v>121</v>
      </c>
      <c r="I178" s="23">
        <v>213307.98</v>
      </c>
      <c r="J178" s="23">
        <v>2.77</v>
      </c>
      <c r="K178" s="22">
        <v>240</v>
      </c>
      <c r="L178" s="22">
        <v>63</v>
      </c>
      <c r="M178" s="22" t="s">
        <v>131</v>
      </c>
    </row>
    <row r="179" spans="1:13" ht="16.5" customHeight="1" x14ac:dyDescent="0.45">
      <c r="A179" s="20" t="s">
        <v>460</v>
      </c>
      <c r="B179" s="20" t="s">
        <v>461</v>
      </c>
      <c r="C179" s="20" t="s">
        <v>124</v>
      </c>
      <c r="D179" s="20" t="s">
        <v>139</v>
      </c>
      <c r="E179" s="20" t="s">
        <v>140</v>
      </c>
      <c r="F179" s="20" t="s">
        <v>125</v>
      </c>
      <c r="G179" s="20" t="s">
        <v>120</v>
      </c>
      <c r="H179" s="20" t="s">
        <v>121</v>
      </c>
      <c r="I179" s="21">
        <v>234890.77</v>
      </c>
      <c r="J179" s="21">
        <v>5</v>
      </c>
      <c r="K179" s="20">
        <v>360</v>
      </c>
      <c r="L179" s="20">
        <v>71</v>
      </c>
      <c r="M179" s="20" t="s">
        <v>131</v>
      </c>
    </row>
    <row r="180" spans="1:13" ht="16.5" customHeight="1" x14ac:dyDescent="0.45">
      <c r="A180" s="22" t="s">
        <v>462</v>
      </c>
      <c r="B180" s="22" t="s">
        <v>463</v>
      </c>
      <c r="C180" s="22" t="s">
        <v>109</v>
      </c>
      <c r="D180" s="22" t="s">
        <v>159</v>
      </c>
      <c r="E180" s="22" t="s">
        <v>135</v>
      </c>
      <c r="F180" s="22" t="s">
        <v>125</v>
      </c>
      <c r="G180" s="22" t="s">
        <v>113</v>
      </c>
      <c r="H180" s="22" t="s">
        <v>126</v>
      </c>
      <c r="I180" s="23">
        <v>235562.46</v>
      </c>
      <c r="J180" s="23">
        <v>9.94</v>
      </c>
      <c r="K180" s="22">
        <v>48</v>
      </c>
      <c r="L180" s="22">
        <v>68</v>
      </c>
      <c r="M180" s="22" t="s">
        <v>131</v>
      </c>
    </row>
    <row r="181" spans="1:13" ht="16.5" customHeight="1" x14ac:dyDescent="0.45">
      <c r="A181" s="20" t="s">
        <v>464</v>
      </c>
      <c r="B181" s="20" t="s">
        <v>465</v>
      </c>
      <c r="C181" s="20" t="s">
        <v>147</v>
      </c>
      <c r="D181" s="20" t="s">
        <v>159</v>
      </c>
      <c r="E181" s="20" t="s">
        <v>135</v>
      </c>
      <c r="F181" s="20" t="s">
        <v>136</v>
      </c>
      <c r="G181" s="20" t="s">
        <v>113</v>
      </c>
      <c r="H181" s="20" t="s">
        <v>114</v>
      </c>
      <c r="I181" s="21">
        <v>20412.689999999999</v>
      </c>
      <c r="J181" s="21">
        <v>12.88</v>
      </c>
      <c r="K181" s="20">
        <v>60</v>
      </c>
      <c r="L181" s="20">
        <v>31</v>
      </c>
      <c r="M181" s="20" t="s">
        <v>189</v>
      </c>
    </row>
    <row r="182" spans="1:13" ht="16.5" customHeight="1" x14ac:dyDescent="0.45">
      <c r="A182" s="22" t="s">
        <v>466</v>
      </c>
      <c r="B182" s="22" t="s">
        <v>325</v>
      </c>
      <c r="C182" s="22" t="s">
        <v>176</v>
      </c>
      <c r="D182" s="22" t="s">
        <v>139</v>
      </c>
      <c r="E182" s="22" t="s">
        <v>140</v>
      </c>
      <c r="F182" s="22" t="s">
        <v>112</v>
      </c>
      <c r="G182" s="22" t="s">
        <v>113</v>
      </c>
      <c r="H182" s="22" t="s">
        <v>121</v>
      </c>
      <c r="I182" s="23">
        <v>43101.71</v>
      </c>
      <c r="J182" s="23">
        <v>12.13</v>
      </c>
      <c r="K182" s="22">
        <v>24</v>
      </c>
      <c r="L182" s="22">
        <v>34</v>
      </c>
      <c r="M182" s="22" t="s">
        <v>115</v>
      </c>
    </row>
    <row r="183" spans="1:13" ht="16.5" customHeight="1" x14ac:dyDescent="0.45">
      <c r="A183" s="20" t="s">
        <v>467</v>
      </c>
      <c r="B183" s="20" t="s">
        <v>468</v>
      </c>
      <c r="C183" s="20" t="s">
        <v>109</v>
      </c>
      <c r="D183" s="20" t="s">
        <v>163</v>
      </c>
      <c r="E183" s="20" t="s">
        <v>135</v>
      </c>
      <c r="F183" s="20" t="s">
        <v>119</v>
      </c>
      <c r="G183" s="20" t="s">
        <v>113</v>
      </c>
      <c r="H183" s="20" t="s">
        <v>114</v>
      </c>
      <c r="I183" s="21">
        <v>234206.4</v>
      </c>
      <c r="J183" s="21">
        <v>7.76</v>
      </c>
      <c r="K183" s="20">
        <v>12</v>
      </c>
      <c r="L183" s="20">
        <v>24</v>
      </c>
      <c r="M183" s="20" t="s">
        <v>131</v>
      </c>
    </row>
    <row r="184" spans="1:13" ht="16.5" customHeight="1" x14ac:dyDescent="0.45">
      <c r="A184" s="22" t="s">
        <v>469</v>
      </c>
      <c r="B184" s="22" t="s">
        <v>470</v>
      </c>
      <c r="C184" s="22" t="s">
        <v>144</v>
      </c>
      <c r="D184" s="22" t="s">
        <v>110</v>
      </c>
      <c r="E184" s="22" t="s">
        <v>111</v>
      </c>
      <c r="F184" s="22" t="s">
        <v>119</v>
      </c>
      <c r="G184" s="22" t="s">
        <v>113</v>
      </c>
      <c r="H184" s="22" t="s">
        <v>126</v>
      </c>
      <c r="I184" s="23">
        <v>30979.94</v>
      </c>
      <c r="J184" s="23">
        <v>5.41</v>
      </c>
      <c r="K184" s="22">
        <v>24</v>
      </c>
      <c r="L184" s="22">
        <v>32</v>
      </c>
      <c r="M184" s="22" t="s">
        <v>115</v>
      </c>
    </row>
    <row r="185" spans="1:13" ht="16.5" customHeight="1" x14ac:dyDescent="0.45">
      <c r="A185" s="20" t="s">
        <v>471</v>
      </c>
      <c r="B185" s="20" t="s">
        <v>472</v>
      </c>
      <c r="C185" s="20" t="s">
        <v>124</v>
      </c>
      <c r="D185" s="20" t="s">
        <v>156</v>
      </c>
      <c r="E185" s="20" t="s">
        <v>111</v>
      </c>
      <c r="F185" s="20" t="s">
        <v>112</v>
      </c>
      <c r="G185" s="20" t="s">
        <v>113</v>
      </c>
      <c r="H185" s="20" t="s">
        <v>126</v>
      </c>
      <c r="I185" s="21">
        <v>5724.53</v>
      </c>
      <c r="J185" s="21">
        <v>13.69</v>
      </c>
      <c r="K185" s="20">
        <v>180</v>
      </c>
      <c r="L185" s="20">
        <v>74</v>
      </c>
      <c r="M185" s="20" t="s">
        <v>189</v>
      </c>
    </row>
    <row r="186" spans="1:13" ht="16.5" customHeight="1" x14ac:dyDescent="0.45">
      <c r="A186" s="22" t="s">
        <v>473</v>
      </c>
      <c r="B186" s="22" t="s">
        <v>474</v>
      </c>
      <c r="C186" s="22" t="s">
        <v>147</v>
      </c>
      <c r="D186" s="22" t="s">
        <v>110</v>
      </c>
      <c r="E186" s="22" t="s">
        <v>111</v>
      </c>
      <c r="F186" s="22" t="s">
        <v>119</v>
      </c>
      <c r="G186" s="22" t="s">
        <v>113</v>
      </c>
      <c r="H186" s="22" t="s">
        <v>121</v>
      </c>
      <c r="I186" s="23">
        <v>97453.81</v>
      </c>
      <c r="J186" s="23">
        <v>7.25</v>
      </c>
      <c r="K186" s="22">
        <v>60</v>
      </c>
      <c r="L186" s="22">
        <v>49</v>
      </c>
      <c r="M186" s="22" t="s">
        <v>115</v>
      </c>
    </row>
    <row r="187" spans="1:13" ht="16.5" customHeight="1" x14ac:dyDescent="0.45">
      <c r="A187" s="20" t="s">
        <v>475</v>
      </c>
      <c r="B187" s="20" t="s">
        <v>465</v>
      </c>
      <c r="C187" s="20" t="s">
        <v>124</v>
      </c>
      <c r="D187" s="20" t="s">
        <v>134</v>
      </c>
      <c r="E187" s="20" t="s">
        <v>135</v>
      </c>
      <c r="F187" s="20" t="s">
        <v>125</v>
      </c>
      <c r="G187" s="20" t="s">
        <v>113</v>
      </c>
      <c r="H187" s="20" t="s">
        <v>114</v>
      </c>
      <c r="I187" s="21">
        <v>14919.47</v>
      </c>
      <c r="J187" s="21">
        <v>7.07</v>
      </c>
      <c r="K187" s="20">
        <v>180</v>
      </c>
      <c r="L187" s="20">
        <v>49</v>
      </c>
      <c r="M187" s="20" t="s">
        <v>189</v>
      </c>
    </row>
    <row r="188" spans="1:13" ht="16.5" customHeight="1" x14ac:dyDescent="0.45">
      <c r="A188" s="22" t="s">
        <v>476</v>
      </c>
      <c r="B188" s="22" t="s">
        <v>331</v>
      </c>
      <c r="C188" s="22" t="s">
        <v>109</v>
      </c>
      <c r="D188" s="22" t="s">
        <v>118</v>
      </c>
      <c r="E188" s="22" t="s">
        <v>111</v>
      </c>
      <c r="F188" s="22" t="s">
        <v>112</v>
      </c>
      <c r="G188" s="22" t="s">
        <v>130</v>
      </c>
      <c r="H188" s="22" t="s">
        <v>114</v>
      </c>
      <c r="I188" s="23">
        <v>208722.9</v>
      </c>
      <c r="J188" s="23">
        <v>13.68</v>
      </c>
      <c r="K188" s="22">
        <v>120</v>
      </c>
      <c r="L188" s="22">
        <v>30</v>
      </c>
      <c r="M188" s="22" t="s">
        <v>131</v>
      </c>
    </row>
    <row r="189" spans="1:13" ht="16.5" customHeight="1" x14ac:dyDescent="0.45">
      <c r="A189" s="20" t="s">
        <v>477</v>
      </c>
      <c r="B189" s="20" t="s">
        <v>478</v>
      </c>
      <c r="C189" s="20" t="s">
        <v>176</v>
      </c>
      <c r="D189" s="20" t="s">
        <v>139</v>
      </c>
      <c r="E189" s="20" t="s">
        <v>140</v>
      </c>
      <c r="F189" s="20" t="s">
        <v>119</v>
      </c>
      <c r="G189" s="20" t="s">
        <v>113</v>
      </c>
      <c r="H189" s="20" t="s">
        <v>126</v>
      </c>
      <c r="I189" s="21">
        <v>3572.87</v>
      </c>
      <c r="J189" s="21">
        <v>2.57</v>
      </c>
      <c r="K189" s="20">
        <v>60</v>
      </c>
      <c r="L189" s="20">
        <v>58</v>
      </c>
      <c r="M189" s="20" t="s">
        <v>189</v>
      </c>
    </row>
    <row r="190" spans="1:13" ht="16.5" customHeight="1" x14ac:dyDescent="0.45">
      <c r="A190" s="22" t="s">
        <v>479</v>
      </c>
      <c r="B190" s="22" t="s">
        <v>480</v>
      </c>
      <c r="C190" s="22" t="s">
        <v>109</v>
      </c>
      <c r="D190" s="22" t="s">
        <v>118</v>
      </c>
      <c r="E190" s="22" t="s">
        <v>111</v>
      </c>
      <c r="F190" s="22" t="s">
        <v>141</v>
      </c>
      <c r="G190" s="22" t="s">
        <v>113</v>
      </c>
      <c r="H190" s="22" t="s">
        <v>121</v>
      </c>
      <c r="I190" s="23">
        <v>23375.73</v>
      </c>
      <c r="J190" s="23">
        <v>13.58</v>
      </c>
      <c r="K190" s="22">
        <v>12</v>
      </c>
      <c r="L190" s="22">
        <v>74</v>
      </c>
      <c r="M190" s="22" t="s">
        <v>189</v>
      </c>
    </row>
    <row r="191" spans="1:13" ht="16.5" customHeight="1" x14ac:dyDescent="0.45">
      <c r="A191" s="20" t="s">
        <v>481</v>
      </c>
      <c r="B191" s="20" t="s">
        <v>482</v>
      </c>
      <c r="C191" s="20" t="s">
        <v>144</v>
      </c>
      <c r="D191" s="20" t="s">
        <v>110</v>
      </c>
      <c r="E191" s="20" t="s">
        <v>111</v>
      </c>
      <c r="F191" s="20" t="s">
        <v>119</v>
      </c>
      <c r="G191" s="20" t="s">
        <v>113</v>
      </c>
      <c r="H191" s="20" t="s">
        <v>114</v>
      </c>
      <c r="I191" s="21">
        <v>85051.44</v>
      </c>
      <c r="J191" s="21">
        <v>10.8</v>
      </c>
      <c r="K191" s="20">
        <v>240</v>
      </c>
      <c r="L191" s="20">
        <v>27</v>
      </c>
      <c r="M191" s="20" t="s">
        <v>115</v>
      </c>
    </row>
    <row r="192" spans="1:13" ht="16.5" customHeight="1" x14ac:dyDescent="0.45">
      <c r="A192" s="22" t="s">
        <v>483</v>
      </c>
      <c r="B192" s="22" t="s">
        <v>484</v>
      </c>
      <c r="C192" s="22" t="s">
        <v>109</v>
      </c>
      <c r="D192" s="22" t="s">
        <v>163</v>
      </c>
      <c r="E192" s="22" t="s">
        <v>135</v>
      </c>
      <c r="F192" s="22" t="s">
        <v>141</v>
      </c>
      <c r="G192" s="22" t="s">
        <v>113</v>
      </c>
      <c r="H192" s="22" t="s">
        <v>126</v>
      </c>
      <c r="I192" s="23">
        <v>193398.94</v>
      </c>
      <c r="J192" s="23">
        <v>3.84</v>
      </c>
      <c r="K192" s="22">
        <v>240</v>
      </c>
      <c r="L192" s="22">
        <v>55</v>
      </c>
      <c r="M192" s="22" t="s">
        <v>131</v>
      </c>
    </row>
    <row r="193" spans="1:13" ht="16.5" customHeight="1" x14ac:dyDescent="0.45">
      <c r="A193" s="20" t="s">
        <v>485</v>
      </c>
      <c r="B193" s="20" t="s">
        <v>486</v>
      </c>
      <c r="C193" s="20" t="s">
        <v>147</v>
      </c>
      <c r="D193" s="20" t="s">
        <v>163</v>
      </c>
      <c r="E193" s="20" t="s">
        <v>135</v>
      </c>
      <c r="F193" s="20" t="s">
        <v>136</v>
      </c>
      <c r="G193" s="20" t="s">
        <v>120</v>
      </c>
      <c r="H193" s="20" t="s">
        <v>121</v>
      </c>
      <c r="I193" s="21">
        <v>91929.89</v>
      </c>
      <c r="J193" s="21">
        <v>13.86</v>
      </c>
      <c r="K193" s="20">
        <v>120</v>
      </c>
      <c r="L193" s="20">
        <v>57</v>
      </c>
      <c r="M193" s="20" t="s">
        <v>115</v>
      </c>
    </row>
    <row r="194" spans="1:13" ht="16.5" customHeight="1" x14ac:dyDescent="0.45">
      <c r="A194" s="22" t="s">
        <v>487</v>
      </c>
      <c r="B194" s="22" t="s">
        <v>378</v>
      </c>
      <c r="C194" s="22" t="s">
        <v>109</v>
      </c>
      <c r="D194" s="22" t="s">
        <v>139</v>
      </c>
      <c r="E194" s="22" t="s">
        <v>140</v>
      </c>
      <c r="F194" s="22" t="s">
        <v>112</v>
      </c>
      <c r="G194" s="22" t="s">
        <v>113</v>
      </c>
      <c r="H194" s="22" t="s">
        <v>114</v>
      </c>
      <c r="I194" s="23">
        <v>27464.42</v>
      </c>
      <c r="J194" s="23">
        <v>13.51</v>
      </c>
      <c r="K194" s="22">
        <v>60</v>
      </c>
      <c r="L194" s="22">
        <v>60</v>
      </c>
      <c r="M194" s="22" t="s">
        <v>115</v>
      </c>
    </row>
    <row r="195" spans="1:13" ht="16.5" customHeight="1" x14ac:dyDescent="0.45">
      <c r="A195" s="20" t="s">
        <v>488</v>
      </c>
      <c r="B195" s="20" t="s">
        <v>267</v>
      </c>
      <c r="C195" s="20" t="s">
        <v>176</v>
      </c>
      <c r="D195" s="20" t="s">
        <v>129</v>
      </c>
      <c r="E195" s="20" t="s">
        <v>111</v>
      </c>
      <c r="F195" s="20" t="s">
        <v>141</v>
      </c>
      <c r="G195" s="20" t="s">
        <v>120</v>
      </c>
      <c r="H195" s="20" t="s">
        <v>121</v>
      </c>
      <c r="I195" s="21">
        <v>36710.230000000003</v>
      </c>
      <c r="J195" s="21"/>
      <c r="K195" s="20">
        <v>360</v>
      </c>
      <c r="L195" s="20">
        <v>39</v>
      </c>
      <c r="M195" s="20" t="s">
        <v>115</v>
      </c>
    </row>
    <row r="196" spans="1:13" ht="16.5" customHeight="1" x14ac:dyDescent="0.45">
      <c r="A196" s="22" t="s">
        <v>489</v>
      </c>
      <c r="B196" s="22" t="s">
        <v>304</v>
      </c>
      <c r="C196" s="22" t="s">
        <v>176</v>
      </c>
      <c r="D196" s="22" t="s">
        <v>129</v>
      </c>
      <c r="E196" s="22" t="s">
        <v>111</v>
      </c>
      <c r="F196" s="22" t="s">
        <v>136</v>
      </c>
      <c r="G196" s="22" t="s">
        <v>130</v>
      </c>
      <c r="H196" s="22" t="s">
        <v>121</v>
      </c>
      <c r="I196" s="23">
        <v>2680</v>
      </c>
      <c r="J196" s="23">
        <v>7.88</v>
      </c>
      <c r="K196" s="22">
        <v>12</v>
      </c>
      <c r="L196" s="22">
        <v>39</v>
      </c>
      <c r="M196" s="22" t="s">
        <v>189</v>
      </c>
    </row>
    <row r="197" spans="1:13" ht="16.5" customHeight="1" x14ac:dyDescent="0.45">
      <c r="A197" s="20" t="s">
        <v>490</v>
      </c>
      <c r="B197" s="20" t="s">
        <v>128</v>
      </c>
      <c r="C197" s="20" t="s">
        <v>147</v>
      </c>
      <c r="D197" s="20" t="s">
        <v>110</v>
      </c>
      <c r="E197" s="20" t="s">
        <v>111</v>
      </c>
      <c r="F197" s="20" t="s">
        <v>112</v>
      </c>
      <c r="G197" s="20" t="s">
        <v>120</v>
      </c>
      <c r="H197" s="20" t="s">
        <v>114</v>
      </c>
      <c r="I197" s="21">
        <v>165006.53</v>
      </c>
      <c r="J197" s="21">
        <v>12.66</v>
      </c>
      <c r="K197" s="20">
        <v>6</v>
      </c>
      <c r="L197" s="20">
        <v>34</v>
      </c>
      <c r="M197" s="20" t="s">
        <v>131</v>
      </c>
    </row>
    <row r="198" spans="1:13" ht="16.5" customHeight="1" x14ac:dyDescent="0.45">
      <c r="A198" s="22" t="s">
        <v>491</v>
      </c>
      <c r="B198" s="22" t="s">
        <v>492</v>
      </c>
      <c r="C198" s="22" t="s">
        <v>124</v>
      </c>
      <c r="D198" s="22" t="s">
        <v>134</v>
      </c>
      <c r="E198" s="22" t="s">
        <v>135</v>
      </c>
      <c r="F198" s="22" t="s">
        <v>119</v>
      </c>
      <c r="G198" s="22" t="s">
        <v>113</v>
      </c>
      <c r="H198" s="22" t="s">
        <v>114</v>
      </c>
      <c r="I198" s="23">
        <v>160526.95000000001</v>
      </c>
      <c r="J198" s="23">
        <v>8.33</v>
      </c>
      <c r="K198" s="22">
        <v>60</v>
      </c>
      <c r="L198" s="22">
        <v>74</v>
      </c>
      <c r="M198" s="22" t="s">
        <v>131</v>
      </c>
    </row>
    <row r="199" spans="1:13" ht="16.5" customHeight="1" x14ac:dyDescent="0.45">
      <c r="A199" s="20" t="s">
        <v>493</v>
      </c>
      <c r="B199" s="20" t="s">
        <v>494</v>
      </c>
      <c r="C199" s="20" t="s">
        <v>109</v>
      </c>
      <c r="D199" s="20" t="s">
        <v>139</v>
      </c>
      <c r="E199" s="20" t="s">
        <v>140</v>
      </c>
      <c r="F199" s="20" t="s">
        <v>125</v>
      </c>
      <c r="G199" s="20" t="s">
        <v>113</v>
      </c>
      <c r="H199" s="20" t="s">
        <v>126</v>
      </c>
      <c r="I199" s="21">
        <v>88809.37</v>
      </c>
      <c r="J199" s="21">
        <v>13.58</v>
      </c>
      <c r="K199" s="20">
        <v>24</v>
      </c>
      <c r="L199" s="20">
        <v>59</v>
      </c>
      <c r="M199" s="20" t="s">
        <v>115</v>
      </c>
    </row>
    <row r="200" spans="1:13" ht="16.5" customHeight="1" x14ac:dyDescent="0.45">
      <c r="A200" s="22" t="s">
        <v>495</v>
      </c>
      <c r="B200" s="22" t="s">
        <v>496</v>
      </c>
      <c r="C200" s="22" t="s">
        <v>176</v>
      </c>
      <c r="D200" s="22" t="s">
        <v>118</v>
      </c>
      <c r="E200" s="22" t="s">
        <v>111</v>
      </c>
      <c r="F200" s="22" t="s">
        <v>125</v>
      </c>
      <c r="G200" s="22" t="s">
        <v>120</v>
      </c>
      <c r="H200" s="22" t="s">
        <v>126</v>
      </c>
      <c r="I200" s="23">
        <v>147620.13</v>
      </c>
      <c r="J200" s="23">
        <v>3.02</v>
      </c>
      <c r="K200" s="22">
        <v>120</v>
      </c>
      <c r="L200" s="22">
        <v>68</v>
      </c>
      <c r="M200" s="22" t="s">
        <v>131</v>
      </c>
    </row>
    <row r="201" spans="1:13" ht="16.5" customHeight="1" x14ac:dyDescent="0.45">
      <c r="A201" s="20" t="s">
        <v>497</v>
      </c>
      <c r="B201" s="20" t="s">
        <v>233</v>
      </c>
      <c r="C201" s="20" t="s">
        <v>147</v>
      </c>
      <c r="D201" s="20" t="s">
        <v>110</v>
      </c>
      <c r="E201" s="20" t="s">
        <v>111</v>
      </c>
      <c r="F201" s="20" t="s">
        <v>141</v>
      </c>
      <c r="G201" s="20" t="s">
        <v>120</v>
      </c>
      <c r="H201" s="20" t="s">
        <v>121</v>
      </c>
      <c r="I201" s="21">
        <v>127905.65</v>
      </c>
      <c r="J201" s="21">
        <v>6.32</v>
      </c>
      <c r="K201" s="20">
        <v>180</v>
      </c>
      <c r="L201" s="20">
        <v>55</v>
      </c>
      <c r="M201" s="20" t="s">
        <v>131</v>
      </c>
    </row>
    <row r="202" spans="1:13" ht="16.5" customHeight="1" x14ac:dyDescent="0.45">
      <c r="A202" s="22" t="s">
        <v>498</v>
      </c>
      <c r="B202" s="22" t="s">
        <v>499</v>
      </c>
      <c r="C202" s="22" t="s">
        <v>109</v>
      </c>
      <c r="D202" s="22" t="s">
        <v>134</v>
      </c>
      <c r="E202" s="22" t="s">
        <v>135</v>
      </c>
      <c r="F202" s="22" t="s">
        <v>125</v>
      </c>
      <c r="G202" s="22" t="s">
        <v>113</v>
      </c>
      <c r="H202" s="22" t="s">
        <v>114</v>
      </c>
      <c r="I202" s="23">
        <v>234872.1</v>
      </c>
      <c r="J202" s="23">
        <v>7.69</v>
      </c>
      <c r="K202" s="22">
        <v>48</v>
      </c>
      <c r="L202" s="22">
        <v>67</v>
      </c>
      <c r="M202" s="22" t="s">
        <v>131</v>
      </c>
    </row>
    <row r="203" spans="1:13" ht="16.5" customHeight="1" x14ac:dyDescent="0.45">
      <c r="A203" s="20" t="s">
        <v>500</v>
      </c>
      <c r="B203" s="20" t="s">
        <v>501</v>
      </c>
      <c r="C203" s="20" t="s">
        <v>144</v>
      </c>
      <c r="D203" s="20" t="s">
        <v>118</v>
      </c>
      <c r="E203" s="20" t="s">
        <v>111</v>
      </c>
      <c r="F203" s="20" t="s">
        <v>125</v>
      </c>
      <c r="G203" s="20" t="s">
        <v>113</v>
      </c>
      <c r="H203" s="20" t="s">
        <v>126</v>
      </c>
      <c r="I203" s="21">
        <v>90247.1</v>
      </c>
      <c r="J203" s="21">
        <v>10.95</v>
      </c>
      <c r="K203" s="20">
        <v>48</v>
      </c>
      <c r="L203" s="20">
        <v>75</v>
      </c>
      <c r="M203" s="20" t="s">
        <v>115</v>
      </c>
    </row>
    <row r="204" spans="1:13" ht="16.5" customHeight="1" x14ac:dyDescent="0.45">
      <c r="A204" s="22" t="s">
        <v>502</v>
      </c>
      <c r="B204" s="22" t="s">
        <v>503</v>
      </c>
      <c r="C204" s="22" t="s">
        <v>144</v>
      </c>
      <c r="D204" s="22" t="s">
        <v>110</v>
      </c>
      <c r="E204" s="22" t="s">
        <v>111</v>
      </c>
      <c r="F204" s="22" t="s">
        <v>112</v>
      </c>
      <c r="G204" s="22" t="s">
        <v>113</v>
      </c>
      <c r="H204" s="22" t="s">
        <v>121</v>
      </c>
      <c r="I204" s="23">
        <v>164331.01</v>
      </c>
      <c r="J204" s="23">
        <v>7.47</v>
      </c>
      <c r="K204" s="22">
        <v>60</v>
      </c>
      <c r="L204" s="22">
        <v>25</v>
      </c>
      <c r="M204" s="22" t="s">
        <v>131</v>
      </c>
    </row>
    <row r="205" spans="1:13" ht="16.5" customHeight="1" x14ac:dyDescent="0.45">
      <c r="A205" s="20" t="s">
        <v>504</v>
      </c>
      <c r="B205" s="20" t="s">
        <v>505</v>
      </c>
      <c r="C205" s="20" t="s">
        <v>144</v>
      </c>
      <c r="D205" s="20" t="s">
        <v>110</v>
      </c>
      <c r="E205" s="20" t="s">
        <v>111</v>
      </c>
      <c r="F205" s="20" t="s">
        <v>125</v>
      </c>
      <c r="G205" s="20" t="s">
        <v>113</v>
      </c>
      <c r="H205" s="20" t="s">
        <v>121</v>
      </c>
      <c r="I205" s="21">
        <v>30928.26</v>
      </c>
      <c r="J205" s="21">
        <v>9.81</v>
      </c>
      <c r="K205" s="20">
        <v>120</v>
      </c>
      <c r="L205" s="20">
        <v>46</v>
      </c>
      <c r="M205" s="20" t="s">
        <v>115</v>
      </c>
    </row>
    <row r="206" spans="1:13" ht="16.5" customHeight="1" x14ac:dyDescent="0.45">
      <c r="A206" s="22" t="s">
        <v>506</v>
      </c>
      <c r="B206" s="22" t="s">
        <v>507</v>
      </c>
      <c r="C206" s="22" t="s">
        <v>124</v>
      </c>
      <c r="D206" s="22" t="s">
        <v>163</v>
      </c>
      <c r="E206" s="22" t="s">
        <v>135</v>
      </c>
      <c r="F206" s="22" t="s">
        <v>125</v>
      </c>
      <c r="G206" s="22" t="s">
        <v>113</v>
      </c>
      <c r="H206" s="22" t="s">
        <v>114</v>
      </c>
      <c r="I206" s="23">
        <v>219557.08</v>
      </c>
      <c r="J206" s="23">
        <v>8.09</v>
      </c>
      <c r="K206" s="22">
        <v>24</v>
      </c>
      <c r="L206" s="22">
        <v>55</v>
      </c>
      <c r="M206" s="22" t="s">
        <v>131</v>
      </c>
    </row>
    <row r="207" spans="1:13" ht="16.5" customHeight="1" x14ac:dyDescent="0.45">
      <c r="A207" s="20" t="s">
        <v>508</v>
      </c>
      <c r="B207" s="20" t="s">
        <v>509</v>
      </c>
      <c r="C207" s="20" t="s">
        <v>144</v>
      </c>
      <c r="D207" s="20" t="s">
        <v>159</v>
      </c>
      <c r="E207" s="20" t="s">
        <v>135</v>
      </c>
      <c r="F207" s="20" t="s">
        <v>112</v>
      </c>
      <c r="G207" s="20" t="s">
        <v>113</v>
      </c>
      <c r="H207" s="20" t="s">
        <v>121</v>
      </c>
      <c r="I207" s="21">
        <v>231648.99</v>
      </c>
      <c r="J207" s="21">
        <v>9.0399999999999991</v>
      </c>
      <c r="K207" s="20">
        <v>24</v>
      </c>
      <c r="L207" s="20">
        <v>25</v>
      </c>
      <c r="M207" s="20" t="s">
        <v>131</v>
      </c>
    </row>
    <row r="208" spans="1:13" ht="16.5" customHeight="1" x14ac:dyDescent="0.45">
      <c r="A208" s="22" t="s">
        <v>510</v>
      </c>
      <c r="B208" s="22" t="s">
        <v>511</v>
      </c>
      <c r="C208" s="22" t="s">
        <v>109</v>
      </c>
      <c r="D208" s="22" t="s">
        <v>156</v>
      </c>
      <c r="E208" s="22" t="s">
        <v>111</v>
      </c>
      <c r="F208" s="22" t="s">
        <v>119</v>
      </c>
      <c r="G208" s="22" t="s">
        <v>113</v>
      </c>
      <c r="H208" s="22" t="s">
        <v>126</v>
      </c>
      <c r="I208" s="23">
        <v>162974.42000000001</v>
      </c>
      <c r="J208" s="23"/>
      <c r="K208" s="22">
        <v>240</v>
      </c>
      <c r="L208" s="22">
        <v>62</v>
      </c>
      <c r="M208" s="22" t="s">
        <v>131</v>
      </c>
    </row>
    <row r="209" spans="1:13" ht="16.5" customHeight="1" x14ac:dyDescent="0.45">
      <c r="A209" s="20" t="s">
        <v>512</v>
      </c>
      <c r="B209" s="20" t="s">
        <v>208</v>
      </c>
      <c r="C209" s="20" t="s">
        <v>124</v>
      </c>
      <c r="D209" s="20" t="s">
        <v>110</v>
      </c>
      <c r="E209" s="20" t="s">
        <v>111</v>
      </c>
      <c r="F209" s="20" t="s">
        <v>141</v>
      </c>
      <c r="G209" s="20" t="s">
        <v>113</v>
      </c>
      <c r="H209" s="20" t="s">
        <v>114</v>
      </c>
      <c r="I209" s="21">
        <v>19200.990000000002</v>
      </c>
      <c r="J209" s="21">
        <v>8.49</v>
      </c>
      <c r="K209" s="20">
        <v>12</v>
      </c>
      <c r="L209" s="20">
        <v>28</v>
      </c>
      <c r="M209" s="20" t="s">
        <v>189</v>
      </c>
    </row>
    <row r="210" spans="1:13" ht="16.5" customHeight="1" x14ac:dyDescent="0.45">
      <c r="A210" s="22" t="s">
        <v>513</v>
      </c>
      <c r="B210" s="22" t="s">
        <v>514</v>
      </c>
      <c r="C210" s="22" t="s">
        <v>176</v>
      </c>
      <c r="D210" s="22" t="s">
        <v>134</v>
      </c>
      <c r="E210" s="22" t="s">
        <v>135</v>
      </c>
      <c r="F210" s="22" t="s">
        <v>141</v>
      </c>
      <c r="G210" s="22" t="s">
        <v>130</v>
      </c>
      <c r="H210" s="22" t="s">
        <v>126</v>
      </c>
      <c r="I210" s="23">
        <v>206856.34</v>
      </c>
      <c r="J210" s="23">
        <v>2.59</v>
      </c>
      <c r="K210" s="22">
        <v>60</v>
      </c>
      <c r="L210" s="22">
        <v>48</v>
      </c>
      <c r="M210" s="22" t="s">
        <v>131</v>
      </c>
    </row>
    <row r="211" spans="1:13" ht="16.5" customHeight="1" x14ac:dyDescent="0.45">
      <c r="A211" s="20" t="s">
        <v>515</v>
      </c>
      <c r="B211" s="20" t="s">
        <v>516</v>
      </c>
      <c r="C211" s="20" t="s">
        <v>124</v>
      </c>
      <c r="D211" s="20" t="s">
        <v>139</v>
      </c>
      <c r="E211" s="20" t="s">
        <v>140</v>
      </c>
      <c r="F211" s="20" t="s">
        <v>141</v>
      </c>
      <c r="G211" s="20" t="s">
        <v>120</v>
      </c>
      <c r="H211" s="20" t="s">
        <v>121</v>
      </c>
      <c r="I211" s="21">
        <v>156247.98000000001</v>
      </c>
      <c r="J211" s="21">
        <v>9.0399999999999991</v>
      </c>
      <c r="K211" s="20">
        <v>240</v>
      </c>
      <c r="L211" s="20">
        <v>47</v>
      </c>
      <c r="M211" s="20" t="s">
        <v>131</v>
      </c>
    </row>
    <row r="212" spans="1:13" ht="16.5" customHeight="1" x14ac:dyDescent="0.45">
      <c r="A212" s="22" t="s">
        <v>517</v>
      </c>
      <c r="B212" s="22" t="s">
        <v>518</v>
      </c>
      <c r="C212" s="22" t="s">
        <v>176</v>
      </c>
      <c r="D212" s="22" t="s">
        <v>129</v>
      </c>
      <c r="E212" s="22" t="s">
        <v>111</v>
      </c>
      <c r="F212" s="22" t="s">
        <v>112</v>
      </c>
      <c r="G212" s="22" t="s">
        <v>113</v>
      </c>
      <c r="H212" s="22" t="s">
        <v>114</v>
      </c>
      <c r="I212" s="23">
        <v>136460.91</v>
      </c>
      <c r="J212" s="23">
        <v>6.66</v>
      </c>
      <c r="K212" s="22">
        <v>240</v>
      </c>
      <c r="L212" s="22">
        <v>29</v>
      </c>
      <c r="M212" s="22" t="s">
        <v>131</v>
      </c>
    </row>
    <row r="213" spans="1:13" ht="16.5" customHeight="1" x14ac:dyDescent="0.45">
      <c r="A213" s="20" t="s">
        <v>519</v>
      </c>
      <c r="B213" s="20" t="s">
        <v>434</v>
      </c>
      <c r="C213" s="20" t="s">
        <v>109</v>
      </c>
      <c r="D213" s="20" t="s">
        <v>163</v>
      </c>
      <c r="E213" s="20" t="s">
        <v>135</v>
      </c>
      <c r="F213" s="20" t="s">
        <v>119</v>
      </c>
      <c r="G213" s="20" t="s">
        <v>113</v>
      </c>
      <c r="H213" s="20" t="s">
        <v>114</v>
      </c>
      <c r="I213" s="21">
        <v>122944.29</v>
      </c>
      <c r="J213" s="21">
        <v>4.47</v>
      </c>
      <c r="K213" s="20">
        <v>120</v>
      </c>
      <c r="L213" s="20">
        <v>33</v>
      </c>
      <c r="M213" s="20" t="s">
        <v>131</v>
      </c>
    </row>
    <row r="214" spans="1:13" ht="16.5" customHeight="1" x14ac:dyDescent="0.45">
      <c r="A214" s="22" t="s">
        <v>520</v>
      </c>
      <c r="B214" s="22" t="s">
        <v>521</v>
      </c>
      <c r="C214" s="22" t="s">
        <v>109</v>
      </c>
      <c r="D214" s="22" t="s">
        <v>159</v>
      </c>
      <c r="E214" s="22" t="s">
        <v>135</v>
      </c>
      <c r="F214" s="22" t="s">
        <v>141</v>
      </c>
      <c r="G214" s="22" t="s">
        <v>130</v>
      </c>
      <c r="H214" s="22" t="s">
        <v>121</v>
      </c>
      <c r="I214" s="23">
        <v>67669.05</v>
      </c>
      <c r="J214" s="23">
        <v>12.81</v>
      </c>
      <c r="K214" s="22">
        <v>240</v>
      </c>
      <c r="L214" s="22">
        <v>26</v>
      </c>
      <c r="M214" s="22" t="s">
        <v>115</v>
      </c>
    </row>
    <row r="215" spans="1:13" ht="16.5" customHeight="1" x14ac:dyDescent="0.45">
      <c r="A215" s="20" t="s">
        <v>522</v>
      </c>
      <c r="B215" s="20" t="s">
        <v>309</v>
      </c>
      <c r="C215" s="20" t="s">
        <v>147</v>
      </c>
      <c r="D215" s="20" t="s">
        <v>118</v>
      </c>
      <c r="E215" s="20" t="s">
        <v>111</v>
      </c>
      <c r="F215" s="20" t="s">
        <v>119</v>
      </c>
      <c r="G215" s="20" t="s">
        <v>113</v>
      </c>
      <c r="H215" s="20" t="s">
        <v>114</v>
      </c>
      <c r="I215" s="21">
        <v>42394.81</v>
      </c>
      <c r="J215" s="21">
        <v>3.15</v>
      </c>
      <c r="K215" s="20">
        <v>60</v>
      </c>
      <c r="L215" s="20">
        <v>30</v>
      </c>
      <c r="M215" s="20" t="s">
        <v>115</v>
      </c>
    </row>
    <row r="216" spans="1:13" ht="16.5" customHeight="1" x14ac:dyDescent="0.45">
      <c r="A216" s="22" t="s">
        <v>523</v>
      </c>
      <c r="B216" s="22" t="s">
        <v>285</v>
      </c>
      <c r="C216" s="22" t="s">
        <v>176</v>
      </c>
      <c r="D216" s="22" t="s">
        <v>163</v>
      </c>
      <c r="E216" s="22" t="s">
        <v>135</v>
      </c>
      <c r="F216" s="22" t="s">
        <v>141</v>
      </c>
      <c r="G216" s="22" t="s">
        <v>391</v>
      </c>
      <c r="H216" s="22" t="s">
        <v>121</v>
      </c>
      <c r="I216" s="23">
        <v>149276.22</v>
      </c>
      <c r="J216" s="23">
        <v>7.08</v>
      </c>
      <c r="K216" s="22">
        <v>48</v>
      </c>
      <c r="L216" s="22">
        <v>27</v>
      </c>
      <c r="M216" s="22" t="s">
        <v>131</v>
      </c>
    </row>
    <row r="217" spans="1:13" ht="16.5" customHeight="1" x14ac:dyDescent="0.45">
      <c r="A217" s="20" t="s">
        <v>524</v>
      </c>
      <c r="B217" s="20" t="s">
        <v>215</v>
      </c>
      <c r="C217" s="20" t="s">
        <v>124</v>
      </c>
      <c r="D217" s="20" t="s">
        <v>156</v>
      </c>
      <c r="E217" s="20" t="s">
        <v>111</v>
      </c>
      <c r="F217" s="20" t="s">
        <v>141</v>
      </c>
      <c r="G217" s="20" t="s">
        <v>130</v>
      </c>
      <c r="H217" s="20" t="s">
        <v>121</v>
      </c>
      <c r="I217" s="21">
        <v>111621.35</v>
      </c>
      <c r="J217" s="21">
        <v>3.72</v>
      </c>
      <c r="K217" s="20">
        <v>12</v>
      </c>
      <c r="L217" s="20">
        <v>35</v>
      </c>
      <c r="M217" s="20" t="s">
        <v>131</v>
      </c>
    </row>
    <row r="218" spans="1:13" ht="16.5" customHeight="1" x14ac:dyDescent="0.45">
      <c r="A218" s="22" t="s">
        <v>525</v>
      </c>
      <c r="B218" s="22" t="s">
        <v>406</v>
      </c>
      <c r="C218" s="22" t="s">
        <v>176</v>
      </c>
      <c r="D218" s="22" t="s">
        <v>163</v>
      </c>
      <c r="E218" s="22" t="s">
        <v>135</v>
      </c>
      <c r="F218" s="22" t="s">
        <v>112</v>
      </c>
      <c r="G218" s="22" t="s">
        <v>120</v>
      </c>
      <c r="H218" s="22" t="s">
        <v>121</v>
      </c>
      <c r="I218" s="23">
        <v>212797.56</v>
      </c>
      <c r="J218" s="23">
        <v>12.88</v>
      </c>
      <c r="K218" s="22">
        <v>60</v>
      </c>
      <c r="L218" s="22">
        <v>59</v>
      </c>
      <c r="M218" s="22" t="s">
        <v>131</v>
      </c>
    </row>
    <row r="219" spans="1:13" ht="16.5" customHeight="1" x14ac:dyDescent="0.45">
      <c r="A219" s="20" t="s">
        <v>526</v>
      </c>
      <c r="B219" s="20" t="s">
        <v>527</v>
      </c>
      <c r="C219" s="20" t="s">
        <v>109</v>
      </c>
      <c r="D219" s="20" t="s">
        <v>139</v>
      </c>
      <c r="E219" s="20" t="s">
        <v>140</v>
      </c>
      <c r="F219" s="20" t="s">
        <v>119</v>
      </c>
      <c r="G219" s="20" t="s">
        <v>113</v>
      </c>
      <c r="H219" s="20" t="s">
        <v>114</v>
      </c>
      <c r="I219" s="21">
        <v>55733.22</v>
      </c>
      <c r="J219" s="21">
        <v>2.9</v>
      </c>
      <c r="K219" s="20">
        <v>60</v>
      </c>
      <c r="L219" s="20">
        <v>58</v>
      </c>
      <c r="M219" s="20" t="s">
        <v>115</v>
      </c>
    </row>
    <row r="220" spans="1:13" ht="16.5" customHeight="1" x14ac:dyDescent="0.45">
      <c r="A220" s="22" t="s">
        <v>528</v>
      </c>
      <c r="B220" s="22" t="s">
        <v>529</v>
      </c>
      <c r="C220" s="22" t="s">
        <v>176</v>
      </c>
      <c r="D220" s="22" t="s">
        <v>118</v>
      </c>
      <c r="E220" s="22" t="s">
        <v>111</v>
      </c>
      <c r="F220" s="22" t="s">
        <v>112</v>
      </c>
      <c r="G220" s="22" t="s">
        <v>120</v>
      </c>
      <c r="H220" s="22" t="s">
        <v>121</v>
      </c>
      <c r="I220" s="23">
        <v>108064.34</v>
      </c>
      <c r="J220" s="23">
        <v>13.53</v>
      </c>
      <c r="K220" s="22">
        <v>240</v>
      </c>
      <c r="L220" s="22">
        <v>46</v>
      </c>
      <c r="M220" s="22" t="s">
        <v>131</v>
      </c>
    </row>
    <row r="221" spans="1:13" ht="16.5" customHeight="1" x14ac:dyDescent="0.45">
      <c r="A221" s="20" t="s">
        <v>530</v>
      </c>
      <c r="B221" s="20" t="s">
        <v>531</v>
      </c>
      <c r="C221" s="20" t="s">
        <v>109</v>
      </c>
      <c r="D221" s="20" t="s">
        <v>129</v>
      </c>
      <c r="E221" s="20" t="s">
        <v>111</v>
      </c>
      <c r="F221" s="20" t="s">
        <v>112</v>
      </c>
      <c r="G221" s="20" t="s">
        <v>130</v>
      </c>
      <c r="H221" s="20" t="s">
        <v>121</v>
      </c>
      <c r="I221" s="21">
        <v>5540.35</v>
      </c>
      <c r="J221" s="21">
        <v>13.3</v>
      </c>
      <c r="K221" s="20">
        <v>180</v>
      </c>
      <c r="L221" s="20">
        <v>65</v>
      </c>
      <c r="M221" s="20" t="s">
        <v>189</v>
      </c>
    </row>
    <row r="222" spans="1:13" ht="16.5" customHeight="1" x14ac:dyDescent="0.45">
      <c r="A222" s="22" t="s">
        <v>532</v>
      </c>
      <c r="B222" s="22" t="s">
        <v>261</v>
      </c>
      <c r="C222" s="22" t="s">
        <v>176</v>
      </c>
      <c r="D222" s="22" t="s">
        <v>163</v>
      </c>
      <c r="E222" s="22" t="s">
        <v>135</v>
      </c>
      <c r="F222" s="22" t="s">
        <v>136</v>
      </c>
      <c r="G222" s="22" t="s">
        <v>113</v>
      </c>
      <c r="H222" s="22" t="s">
        <v>121</v>
      </c>
      <c r="I222" s="23">
        <v>158506.41</v>
      </c>
      <c r="J222" s="23">
        <v>13.11</v>
      </c>
      <c r="K222" s="22">
        <v>360</v>
      </c>
      <c r="L222" s="22">
        <v>51</v>
      </c>
      <c r="M222" s="22" t="s">
        <v>131</v>
      </c>
    </row>
    <row r="223" spans="1:13" ht="16.5" customHeight="1" x14ac:dyDescent="0.45">
      <c r="A223" s="20" t="s">
        <v>533</v>
      </c>
      <c r="B223" s="20" t="s">
        <v>534</v>
      </c>
      <c r="C223" s="20" t="s">
        <v>535</v>
      </c>
      <c r="D223" s="20" t="s">
        <v>163</v>
      </c>
      <c r="E223" s="20" t="s">
        <v>135</v>
      </c>
      <c r="F223" s="20" t="s">
        <v>141</v>
      </c>
      <c r="G223" s="20" t="s">
        <v>113</v>
      </c>
      <c r="H223" s="20" t="s">
        <v>114</v>
      </c>
      <c r="I223" s="21">
        <v>227205.37</v>
      </c>
      <c r="J223" s="21">
        <v>6.87</v>
      </c>
      <c r="K223" s="20">
        <v>6</v>
      </c>
      <c r="L223" s="20">
        <v>35</v>
      </c>
      <c r="M223" s="20" t="s">
        <v>131</v>
      </c>
    </row>
    <row r="224" spans="1:13" ht="16.5" customHeight="1" x14ac:dyDescent="0.45">
      <c r="A224" s="22" t="s">
        <v>536</v>
      </c>
      <c r="B224" s="22" t="s">
        <v>537</v>
      </c>
      <c r="C224" s="22" t="s">
        <v>109</v>
      </c>
      <c r="D224" s="22" t="s">
        <v>118</v>
      </c>
      <c r="E224" s="22" t="s">
        <v>111</v>
      </c>
      <c r="F224" s="22" t="s">
        <v>141</v>
      </c>
      <c r="G224" s="22" t="s">
        <v>113</v>
      </c>
      <c r="H224" s="22" t="s">
        <v>126</v>
      </c>
      <c r="I224" s="23">
        <v>75546.67</v>
      </c>
      <c r="J224" s="23">
        <v>9.93</v>
      </c>
      <c r="K224" s="22">
        <v>12</v>
      </c>
      <c r="L224" s="22">
        <v>55</v>
      </c>
      <c r="M224" s="22" t="s">
        <v>115</v>
      </c>
    </row>
    <row r="225" spans="1:13" ht="16.5" customHeight="1" x14ac:dyDescent="0.45">
      <c r="A225" s="20" t="s">
        <v>538</v>
      </c>
      <c r="B225" s="20" t="s">
        <v>531</v>
      </c>
      <c r="C225" s="20" t="s">
        <v>124</v>
      </c>
      <c r="D225" s="20" t="s">
        <v>129</v>
      </c>
      <c r="E225" s="20" t="s">
        <v>111</v>
      </c>
      <c r="F225" s="20" t="s">
        <v>119</v>
      </c>
      <c r="G225" s="20" t="s">
        <v>113</v>
      </c>
      <c r="H225" s="20" t="s">
        <v>121</v>
      </c>
      <c r="I225" s="21">
        <v>167174.04</v>
      </c>
      <c r="J225" s="21">
        <v>2.67</v>
      </c>
      <c r="K225" s="20">
        <v>360</v>
      </c>
      <c r="L225" s="20">
        <v>55</v>
      </c>
      <c r="M225" s="20" t="s">
        <v>131</v>
      </c>
    </row>
    <row r="226" spans="1:13" ht="16.5" customHeight="1" x14ac:dyDescent="0.45">
      <c r="A226" s="22" t="s">
        <v>539</v>
      </c>
      <c r="B226" s="22" t="s">
        <v>540</v>
      </c>
      <c r="C226" s="22" t="s">
        <v>124</v>
      </c>
      <c r="D226" s="22" t="s">
        <v>139</v>
      </c>
      <c r="E226" s="22" t="s">
        <v>140</v>
      </c>
      <c r="F226" s="22" t="s">
        <v>125</v>
      </c>
      <c r="G226" s="22" t="s">
        <v>113</v>
      </c>
      <c r="H226" s="22" t="s">
        <v>114</v>
      </c>
      <c r="I226" s="23">
        <v>97976.93</v>
      </c>
      <c r="J226" s="23">
        <v>8.59</v>
      </c>
      <c r="K226" s="22">
        <v>12</v>
      </c>
      <c r="L226" s="22">
        <v>24</v>
      </c>
      <c r="M226" s="22" t="s">
        <v>115</v>
      </c>
    </row>
    <row r="227" spans="1:13" ht="16.5" customHeight="1" x14ac:dyDescent="0.45">
      <c r="A227" s="20" t="s">
        <v>541</v>
      </c>
      <c r="B227" s="20" t="s">
        <v>521</v>
      </c>
      <c r="C227" s="20" t="s">
        <v>176</v>
      </c>
      <c r="D227" s="20" t="s">
        <v>118</v>
      </c>
      <c r="E227" s="20" t="s">
        <v>111</v>
      </c>
      <c r="F227" s="20" t="s">
        <v>141</v>
      </c>
      <c r="G227" s="20" t="s">
        <v>120</v>
      </c>
      <c r="H227" s="20" t="s">
        <v>114</v>
      </c>
      <c r="I227" s="21">
        <v>69108.66</v>
      </c>
      <c r="J227" s="21">
        <v>11.54</v>
      </c>
      <c r="K227" s="20">
        <v>240</v>
      </c>
      <c r="L227" s="20">
        <v>45</v>
      </c>
      <c r="M227" s="20" t="s">
        <v>115</v>
      </c>
    </row>
    <row r="228" spans="1:13" ht="16.5" customHeight="1" x14ac:dyDescent="0.45">
      <c r="A228" s="22" t="s">
        <v>542</v>
      </c>
      <c r="B228" s="22" t="s">
        <v>461</v>
      </c>
      <c r="C228" s="22" t="s">
        <v>144</v>
      </c>
      <c r="D228" s="22" t="s">
        <v>156</v>
      </c>
      <c r="E228" s="22" t="s">
        <v>111</v>
      </c>
      <c r="F228" s="22" t="s">
        <v>112</v>
      </c>
      <c r="G228" s="22" t="s">
        <v>120</v>
      </c>
      <c r="H228" s="22" t="s">
        <v>114</v>
      </c>
      <c r="I228" s="23">
        <v>70843.78</v>
      </c>
      <c r="J228" s="23">
        <v>11.8</v>
      </c>
      <c r="K228" s="22">
        <v>6</v>
      </c>
      <c r="L228" s="22">
        <v>54</v>
      </c>
      <c r="M228" s="22" t="s">
        <v>115</v>
      </c>
    </row>
    <row r="229" spans="1:13" ht="16.5" customHeight="1" x14ac:dyDescent="0.45">
      <c r="A229" s="20" t="s">
        <v>543</v>
      </c>
      <c r="B229" s="20" t="s">
        <v>494</v>
      </c>
      <c r="C229" s="20" t="s">
        <v>109</v>
      </c>
      <c r="D229" s="20" t="s">
        <v>163</v>
      </c>
      <c r="E229" s="20" t="s">
        <v>135</v>
      </c>
      <c r="F229" s="20" t="s">
        <v>119</v>
      </c>
      <c r="G229" s="20" t="s">
        <v>113</v>
      </c>
      <c r="H229" s="20" t="s">
        <v>121</v>
      </c>
      <c r="I229" s="21">
        <v>93294.38</v>
      </c>
      <c r="J229" s="21">
        <v>12.77</v>
      </c>
      <c r="K229" s="20">
        <v>360</v>
      </c>
      <c r="L229" s="20">
        <v>32</v>
      </c>
      <c r="M229" s="20" t="s">
        <v>115</v>
      </c>
    </row>
    <row r="230" spans="1:13" ht="16.5" customHeight="1" x14ac:dyDescent="0.45">
      <c r="A230" s="22" t="s">
        <v>544</v>
      </c>
      <c r="B230" s="22" t="s">
        <v>545</v>
      </c>
      <c r="C230" s="22" t="s">
        <v>144</v>
      </c>
      <c r="D230" s="22" t="s">
        <v>163</v>
      </c>
      <c r="E230" s="22" t="s">
        <v>135</v>
      </c>
      <c r="F230" s="22" t="s">
        <v>141</v>
      </c>
      <c r="G230" s="22" t="s">
        <v>130</v>
      </c>
      <c r="H230" s="22" t="s">
        <v>114</v>
      </c>
      <c r="I230" s="23">
        <v>175670.9</v>
      </c>
      <c r="J230" s="23">
        <v>4.4000000000000004</v>
      </c>
      <c r="K230" s="22">
        <v>360</v>
      </c>
      <c r="L230" s="22">
        <v>23</v>
      </c>
      <c r="M230" s="22" t="s">
        <v>131</v>
      </c>
    </row>
    <row r="231" spans="1:13" ht="16.5" customHeight="1" x14ac:dyDescent="0.45">
      <c r="A231" s="20" t="s">
        <v>546</v>
      </c>
      <c r="B231" s="20" t="s">
        <v>547</v>
      </c>
      <c r="C231" s="20" t="s">
        <v>424</v>
      </c>
      <c r="D231" s="20" t="s">
        <v>134</v>
      </c>
      <c r="E231" s="20" t="s">
        <v>135</v>
      </c>
      <c r="F231" s="20" t="s">
        <v>136</v>
      </c>
      <c r="G231" s="20" t="s">
        <v>113</v>
      </c>
      <c r="H231" s="20" t="s">
        <v>121</v>
      </c>
      <c r="I231" s="21">
        <v>112255.63</v>
      </c>
      <c r="J231" s="21">
        <v>9.91</v>
      </c>
      <c r="K231" s="20">
        <v>24</v>
      </c>
      <c r="L231" s="20">
        <v>44</v>
      </c>
      <c r="M231" s="20" t="s">
        <v>131</v>
      </c>
    </row>
    <row r="232" spans="1:13" ht="16.5" customHeight="1" x14ac:dyDescent="0.45">
      <c r="A232" s="22" t="s">
        <v>548</v>
      </c>
      <c r="B232" s="22" t="s">
        <v>149</v>
      </c>
      <c r="C232" s="22" t="s">
        <v>144</v>
      </c>
      <c r="D232" s="22" t="s">
        <v>129</v>
      </c>
      <c r="E232" s="22" t="s">
        <v>111</v>
      </c>
      <c r="F232" s="22" t="s">
        <v>119</v>
      </c>
      <c r="G232" s="22" t="s">
        <v>113</v>
      </c>
      <c r="H232" s="22" t="s">
        <v>121</v>
      </c>
      <c r="I232" s="23">
        <v>219496.64</v>
      </c>
      <c r="J232" s="23">
        <v>9.5399999999999991</v>
      </c>
      <c r="K232" s="22">
        <v>24</v>
      </c>
      <c r="L232" s="22">
        <v>62</v>
      </c>
      <c r="M232" s="22" t="s">
        <v>131</v>
      </c>
    </row>
    <row r="233" spans="1:13" ht="16.5" customHeight="1" x14ac:dyDescent="0.45">
      <c r="A233" s="20" t="s">
        <v>549</v>
      </c>
      <c r="B233" s="20" t="s">
        <v>358</v>
      </c>
      <c r="C233" s="20" t="s">
        <v>124</v>
      </c>
      <c r="D233" s="20" t="s">
        <v>129</v>
      </c>
      <c r="E233" s="20" t="s">
        <v>111</v>
      </c>
      <c r="F233" s="20" t="s">
        <v>141</v>
      </c>
      <c r="G233" s="20" t="s">
        <v>550</v>
      </c>
      <c r="H233" s="20" t="s">
        <v>121</v>
      </c>
      <c r="I233" s="21">
        <v>232816.21</v>
      </c>
      <c r="J233" s="21">
        <v>12.57</v>
      </c>
      <c r="K233" s="20">
        <v>120</v>
      </c>
      <c r="L233" s="20">
        <v>72</v>
      </c>
      <c r="M233" s="20" t="s">
        <v>131</v>
      </c>
    </row>
    <row r="234" spans="1:13" ht="16.5" customHeight="1" x14ac:dyDescent="0.45">
      <c r="A234" s="22" t="s">
        <v>551</v>
      </c>
      <c r="B234" s="22" t="s">
        <v>426</v>
      </c>
      <c r="C234" s="22" t="s">
        <v>124</v>
      </c>
      <c r="D234" s="22" t="s">
        <v>129</v>
      </c>
      <c r="E234" s="22" t="s">
        <v>111</v>
      </c>
      <c r="F234" s="22" t="s">
        <v>112</v>
      </c>
      <c r="G234" s="22" t="s">
        <v>130</v>
      </c>
      <c r="H234" s="22" t="s">
        <v>126</v>
      </c>
      <c r="I234" s="23">
        <v>118580.64</v>
      </c>
      <c r="J234" s="23">
        <v>8.14</v>
      </c>
      <c r="K234" s="22">
        <v>48</v>
      </c>
      <c r="L234" s="22">
        <v>48</v>
      </c>
      <c r="M234" s="22" t="s">
        <v>131</v>
      </c>
    </row>
    <row r="235" spans="1:13" ht="16.5" customHeight="1" x14ac:dyDescent="0.45">
      <c r="A235" s="20" t="s">
        <v>552</v>
      </c>
      <c r="B235" s="20" t="s">
        <v>553</v>
      </c>
      <c r="C235" s="20" t="s">
        <v>147</v>
      </c>
      <c r="D235" s="20" t="s">
        <v>156</v>
      </c>
      <c r="E235" s="20" t="s">
        <v>111</v>
      </c>
      <c r="F235" s="20" t="s">
        <v>136</v>
      </c>
      <c r="G235" s="20" t="s">
        <v>113</v>
      </c>
      <c r="H235" s="20" t="s">
        <v>114</v>
      </c>
      <c r="I235" s="21">
        <v>184508.72</v>
      </c>
      <c r="J235" s="21">
        <v>3.68</v>
      </c>
      <c r="K235" s="20">
        <v>48</v>
      </c>
      <c r="L235" s="20">
        <v>47</v>
      </c>
      <c r="M235" s="20" t="s">
        <v>131</v>
      </c>
    </row>
    <row r="236" spans="1:13" ht="16.5" customHeight="1" x14ac:dyDescent="0.45">
      <c r="A236" s="22" t="s">
        <v>554</v>
      </c>
      <c r="B236" s="22" t="s">
        <v>555</v>
      </c>
      <c r="C236" s="22" t="s">
        <v>147</v>
      </c>
      <c r="D236" s="22" t="s">
        <v>134</v>
      </c>
      <c r="E236" s="22" t="s">
        <v>135</v>
      </c>
      <c r="F236" s="22" t="s">
        <v>125</v>
      </c>
      <c r="G236" s="22" t="s">
        <v>113</v>
      </c>
      <c r="H236" s="22" t="s">
        <v>126</v>
      </c>
      <c r="I236" s="23">
        <v>49038.63</v>
      </c>
      <c r="J236" s="23">
        <v>11.88</v>
      </c>
      <c r="K236" s="22">
        <v>60</v>
      </c>
      <c r="L236" s="22">
        <v>64</v>
      </c>
      <c r="M236" s="22" t="s">
        <v>115</v>
      </c>
    </row>
    <row r="237" spans="1:13" ht="16.5" customHeight="1" x14ac:dyDescent="0.45">
      <c r="A237" s="20" t="s">
        <v>556</v>
      </c>
      <c r="B237" s="20" t="s">
        <v>358</v>
      </c>
      <c r="C237" s="20" t="s">
        <v>176</v>
      </c>
      <c r="D237" s="20" t="s">
        <v>118</v>
      </c>
      <c r="E237" s="20" t="s">
        <v>111</v>
      </c>
      <c r="F237" s="20" t="s">
        <v>119</v>
      </c>
      <c r="G237" s="20" t="s">
        <v>113</v>
      </c>
      <c r="H237" s="20" t="s">
        <v>121</v>
      </c>
      <c r="I237" s="21">
        <v>220839.47</v>
      </c>
      <c r="J237" s="21">
        <v>10.71</v>
      </c>
      <c r="K237" s="20">
        <v>24</v>
      </c>
      <c r="L237" s="20">
        <v>30</v>
      </c>
      <c r="M237" s="20" t="s">
        <v>131</v>
      </c>
    </row>
    <row r="238" spans="1:13" ht="16.5" customHeight="1" x14ac:dyDescent="0.45">
      <c r="A238" s="22" t="s">
        <v>557</v>
      </c>
      <c r="B238" s="22" t="s">
        <v>253</v>
      </c>
      <c r="C238" s="22" t="s">
        <v>144</v>
      </c>
      <c r="D238" s="22" t="s">
        <v>163</v>
      </c>
      <c r="E238" s="22" t="s">
        <v>135</v>
      </c>
      <c r="F238" s="22" t="s">
        <v>119</v>
      </c>
      <c r="G238" s="22" t="s">
        <v>113</v>
      </c>
      <c r="H238" s="22" t="s">
        <v>121</v>
      </c>
      <c r="I238" s="23">
        <v>229668.55</v>
      </c>
      <c r="J238" s="23">
        <v>13.43</v>
      </c>
      <c r="K238" s="22">
        <v>48</v>
      </c>
      <c r="L238" s="22">
        <v>31</v>
      </c>
      <c r="M238" s="22" t="s">
        <v>131</v>
      </c>
    </row>
    <row r="239" spans="1:13" ht="16.5" customHeight="1" x14ac:dyDescent="0.45">
      <c r="A239" s="20" t="s">
        <v>558</v>
      </c>
      <c r="B239" s="20" t="s">
        <v>559</v>
      </c>
      <c r="C239" s="20" t="s">
        <v>147</v>
      </c>
      <c r="D239" s="20" t="s">
        <v>163</v>
      </c>
      <c r="E239" s="20" t="s">
        <v>135</v>
      </c>
      <c r="F239" s="20" t="s">
        <v>112</v>
      </c>
      <c r="G239" s="20" t="s">
        <v>113</v>
      </c>
      <c r="H239" s="20" t="s">
        <v>121</v>
      </c>
      <c r="I239" s="21">
        <v>190701.94</v>
      </c>
      <c r="J239" s="21">
        <v>9.07</v>
      </c>
      <c r="K239" s="20">
        <v>240</v>
      </c>
      <c r="L239" s="20">
        <v>22</v>
      </c>
      <c r="M239" s="20" t="s">
        <v>131</v>
      </c>
    </row>
    <row r="240" spans="1:13" ht="16.5" customHeight="1" x14ac:dyDescent="0.45">
      <c r="A240" s="22" t="s">
        <v>560</v>
      </c>
      <c r="B240" s="22" t="s">
        <v>451</v>
      </c>
      <c r="C240" s="22" t="s">
        <v>147</v>
      </c>
      <c r="D240" s="22" t="s">
        <v>134</v>
      </c>
      <c r="E240" s="22" t="s">
        <v>135</v>
      </c>
      <c r="F240" s="22" t="s">
        <v>125</v>
      </c>
      <c r="G240" s="22" t="s">
        <v>113</v>
      </c>
      <c r="H240" s="22" t="s">
        <v>121</v>
      </c>
      <c r="I240" s="23">
        <v>78142.52</v>
      </c>
      <c r="J240" s="23">
        <v>12.49</v>
      </c>
      <c r="K240" s="22">
        <v>120</v>
      </c>
      <c r="L240" s="22">
        <v>72</v>
      </c>
      <c r="M240" s="22" t="s">
        <v>115</v>
      </c>
    </row>
    <row r="241" spans="1:13" ht="16.5" customHeight="1" x14ac:dyDescent="0.45">
      <c r="A241" s="20" t="s">
        <v>561</v>
      </c>
      <c r="B241" s="20" t="s">
        <v>562</v>
      </c>
      <c r="C241" s="20" t="s">
        <v>176</v>
      </c>
      <c r="D241" s="20" t="s">
        <v>139</v>
      </c>
      <c r="E241" s="20" t="s">
        <v>140</v>
      </c>
      <c r="F241" s="20" t="s">
        <v>125</v>
      </c>
      <c r="G241" s="20" t="s">
        <v>113</v>
      </c>
      <c r="H241" s="20" t="s">
        <v>126</v>
      </c>
      <c r="I241" s="21"/>
      <c r="J241" s="21">
        <v>7</v>
      </c>
      <c r="K241" s="20">
        <v>240</v>
      </c>
      <c r="L241" s="20">
        <v>50</v>
      </c>
      <c r="M241" s="20" t="s">
        <v>131</v>
      </c>
    </row>
    <row r="242" spans="1:13" ht="16.5" customHeight="1" x14ac:dyDescent="0.45">
      <c r="A242" s="22" t="s">
        <v>563</v>
      </c>
      <c r="B242" s="22" t="s">
        <v>564</v>
      </c>
      <c r="C242" s="22" t="s">
        <v>147</v>
      </c>
      <c r="D242" s="22" t="s">
        <v>134</v>
      </c>
      <c r="E242" s="22" t="s">
        <v>135</v>
      </c>
      <c r="F242" s="22" t="s">
        <v>112</v>
      </c>
      <c r="G242" s="22" t="s">
        <v>120</v>
      </c>
      <c r="H242" s="22" t="s">
        <v>114</v>
      </c>
      <c r="I242" s="23">
        <v>181413.97</v>
      </c>
      <c r="J242" s="23">
        <v>13.45</v>
      </c>
      <c r="K242" s="22">
        <v>60</v>
      </c>
      <c r="L242" s="22">
        <v>45</v>
      </c>
      <c r="M242" s="22" t="s">
        <v>131</v>
      </c>
    </row>
    <row r="243" spans="1:13" ht="16.5" customHeight="1" x14ac:dyDescent="0.45">
      <c r="A243" s="20" t="s">
        <v>565</v>
      </c>
      <c r="B243" s="20" t="s">
        <v>123</v>
      </c>
      <c r="C243" s="20" t="s">
        <v>109</v>
      </c>
      <c r="D243" s="20" t="s">
        <v>139</v>
      </c>
      <c r="E243" s="20" t="s">
        <v>140</v>
      </c>
      <c r="F243" s="20" t="s">
        <v>112</v>
      </c>
      <c r="G243" s="20" t="s">
        <v>113</v>
      </c>
      <c r="H243" s="20" t="s">
        <v>126</v>
      </c>
      <c r="I243" s="21">
        <v>81570.34</v>
      </c>
      <c r="J243" s="21">
        <v>13.24</v>
      </c>
      <c r="K243" s="20">
        <v>120</v>
      </c>
      <c r="L243" s="20">
        <v>57</v>
      </c>
      <c r="M243" s="20" t="s">
        <v>115</v>
      </c>
    </row>
    <row r="244" spans="1:13" ht="16.5" customHeight="1" x14ac:dyDescent="0.45">
      <c r="A244" s="22" t="s">
        <v>566</v>
      </c>
      <c r="B244" s="22" t="s">
        <v>567</v>
      </c>
      <c r="C244" s="22" t="s">
        <v>144</v>
      </c>
      <c r="D244" s="22" t="s">
        <v>129</v>
      </c>
      <c r="E244" s="22" t="s">
        <v>111</v>
      </c>
      <c r="F244" s="22" t="s">
        <v>125</v>
      </c>
      <c r="G244" s="22" t="s">
        <v>113</v>
      </c>
      <c r="H244" s="22" t="s">
        <v>114</v>
      </c>
      <c r="I244" s="23"/>
      <c r="J244" s="23">
        <v>9.3800000000000008</v>
      </c>
      <c r="K244" s="22">
        <v>120</v>
      </c>
      <c r="L244" s="22">
        <v>27</v>
      </c>
      <c r="M244" s="22" t="s">
        <v>131</v>
      </c>
    </row>
    <row r="245" spans="1:13" ht="16.5" customHeight="1" x14ac:dyDescent="0.45">
      <c r="A245" s="20" t="s">
        <v>568</v>
      </c>
      <c r="B245" s="20" t="s">
        <v>269</v>
      </c>
      <c r="C245" s="20" t="s">
        <v>124</v>
      </c>
      <c r="D245" s="20" t="s">
        <v>129</v>
      </c>
      <c r="E245" s="20" t="s">
        <v>111</v>
      </c>
      <c r="F245" s="20" t="s">
        <v>112</v>
      </c>
      <c r="G245" s="20" t="s">
        <v>113</v>
      </c>
      <c r="H245" s="20" t="s">
        <v>121</v>
      </c>
      <c r="I245" s="21">
        <v>205340.74</v>
      </c>
      <c r="J245" s="21">
        <v>10.46</v>
      </c>
      <c r="K245" s="20">
        <v>180</v>
      </c>
      <c r="L245" s="20">
        <v>28</v>
      </c>
      <c r="M245" s="20" t="s">
        <v>131</v>
      </c>
    </row>
    <row r="246" spans="1:13" ht="16.5" customHeight="1" x14ac:dyDescent="0.45">
      <c r="A246" s="22" t="s">
        <v>569</v>
      </c>
      <c r="B246" s="22" t="s">
        <v>570</v>
      </c>
      <c r="C246" s="22" t="s">
        <v>124</v>
      </c>
      <c r="D246" s="22" t="s">
        <v>118</v>
      </c>
      <c r="E246" s="22" t="s">
        <v>111</v>
      </c>
      <c r="F246" s="22" t="s">
        <v>112</v>
      </c>
      <c r="G246" s="22" t="s">
        <v>113</v>
      </c>
      <c r="H246" s="22" t="s">
        <v>121</v>
      </c>
      <c r="I246" s="23">
        <v>18689.28</v>
      </c>
      <c r="J246" s="23">
        <v>5.36</v>
      </c>
      <c r="K246" s="22">
        <v>48</v>
      </c>
      <c r="L246" s="22">
        <v>38</v>
      </c>
      <c r="M246" s="22" t="s">
        <v>189</v>
      </c>
    </row>
    <row r="247" spans="1:13" ht="16.5" customHeight="1" x14ac:dyDescent="0.45">
      <c r="A247" s="20" t="s">
        <v>571</v>
      </c>
      <c r="B247" s="20" t="s">
        <v>572</v>
      </c>
      <c r="C247" s="20" t="s">
        <v>109</v>
      </c>
      <c r="D247" s="20" t="s">
        <v>163</v>
      </c>
      <c r="E247" s="20" t="s">
        <v>135</v>
      </c>
      <c r="F247" s="20" t="s">
        <v>112</v>
      </c>
      <c r="G247" s="20" t="s">
        <v>113</v>
      </c>
      <c r="H247" s="20" t="s">
        <v>121</v>
      </c>
      <c r="I247" s="21">
        <v>58208.66</v>
      </c>
      <c r="J247" s="21">
        <v>2.87</v>
      </c>
      <c r="K247" s="20">
        <v>24</v>
      </c>
      <c r="L247" s="20">
        <v>35</v>
      </c>
      <c r="M247" s="20" t="s">
        <v>115</v>
      </c>
    </row>
    <row r="248" spans="1:13" ht="16.5" customHeight="1" x14ac:dyDescent="0.45">
      <c r="A248" s="22" t="s">
        <v>573</v>
      </c>
      <c r="B248" s="22" t="s">
        <v>574</v>
      </c>
      <c r="C248" s="22" t="s">
        <v>147</v>
      </c>
      <c r="D248" s="22" t="s">
        <v>139</v>
      </c>
      <c r="E248" s="22" t="s">
        <v>140</v>
      </c>
      <c r="F248" s="22" t="s">
        <v>119</v>
      </c>
      <c r="G248" s="22" t="s">
        <v>113</v>
      </c>
      <c r="H248" s="22" t="s">
        <v>121</v>
      </c>
      <c r="I248" s="23">
        <v>160992.67000000001</v>
      </c>
      <c r="J248" s="23">
        <v>3.95</v>
      </c>
      <c r="K248" s="22">
        <v>180</v>
      </c>
      <c r="L248" s="22">
        <v>50</v>
      </c>
      <c r="M248" s="22" t="s">
        <v>131</v>
      </c>
    </row>
    <row r="249" spans="1:13" ht="16.5" customHeight="1" x14ac:dyDescent="0.45">
      <c r="A249" s="20" t="s">
        <v>575</v>
      </c>
      <c r="B249" s="20" t="s">
        <v>494</v>
      </c>
      <c r="C249" s="20" t="s">
        <v>144</v>
      </c>
      <c r="D249" s="20" t="s">
        <v>139</v>
      </c>
      <c r="E249" s="20" t="s">
        <v>140</v>
      </c>
      <c r="F249" s="20" t="s">
        <v>112</v>
      </c>
      <c r="G249" s="20" t="s">
        <v>113</v>
      </c>
      <c r="H249" s="20" t="s">
        <v>121</v>
      </c>
      <c r="I249" s="21">
        <v>120250.21</v>
      </c>
      <c r="J249" s="21">
        <v>13.01</v>
      </c>
      <c r="K249" s="20">
        <v>180</v>
      </c>
      <c r="L249" s="20">
        <v>56</v>
      </c>
      <c r="M249" s="20" t="s">
        <v>131</v>
      </c>
    </row>
    <row r="250" spans="1:13" ht="16.5" customHeight="1" x14ac:dyDescent="0.45">
      <c r="A250" s="22" t="s">
        <v>576</v>
      </c>
      <c r="B250" s="22" t="s">
        <v>325</v>
      </c>
      <c r="C250" s="22" t="s">
        <v>124</v>
      </c>
      <c r="D250" s="22" t="s">
        <v>110</v>
      </c>
      <c r="E250" s="22" t="s">
        <v>111</v>
      </c>
      <c r="F250" s="22" t="s">
        <v>141</v>
      </c>
      <c r="G250" s="22" t="s">
        <v>113</v>
      </c>
      <c r="H250" s="22" t="s">
        <v>121</v>
      </c>
      <c r="I250" s="23">
        <v>230433.22</v>
      </c>
      <c r="J250" s="23">
        <v>4.5199999999999996</v>
      </c>
      <c r="K250" s="22">
        <v>60</v>
      </c>
      <c r="L250" s="22">
        <v>29</v>
      </c>
      <c r="M250" s="22" t="s">
        <v>131</v>
      </c>
    </row>
    <row r="251" spans="1:13" ht="16.5" customHeight="1" x14ac:dyDescent="0.45">
      <c r="A251" s="20" t="s">
        <v>577</v>
      </c>
      <c r="B251" s="20" t="s">
        <v>537</v>
      </c>
      <c r="C251" s="20" t="s">
        <v>109</v>
      </c>
      <c r="D251" s="20" t="s">
        <v>118</v>
      </c>
      <c r="E251" s="20" t="s">
        <v>111</v>
      </c>
      <c r="F251" s="20" t="s">
        <v>125</v>
      </c>
      <c r="G251" s="20" t="s">
        <v>113</v>
      </c>
      <c r="H251" s="20" t="s">
        <v>114</v>
      </c>
      <c r="I251" s="21">
        <v>212571.63</v>
      </c>
      <c r="J251" s="21">
        <v>13.71</v>
      </c>
      <c r="K251" s="20">
        <v>60</v>
      </c>
      <c r="L251" s="20">
        <v>48</v>
      </c>
      <c r="M251" s="20" t="s">
        <v>131</v>
      </c>
    </row>
    <row r="252" spans="1:13" ht="16.5" customHeight="1" x14ac:dyDescent="0.45">
      <c r="A252" s="22" t="s">
        <v>578</v>
      </c>
      <c r="B252" s="22" t="s">
        <v>555</v>
      </c>
      <c r="C252" s="22" t="s">
        <v>124</v>
      </c>
      <c r="D252" s="22" t="s">
        <v>159</v>
      </c>
      <c r="E252" s="22" t="s">
        <v>135</v>
      </c>
      <c r="F252" s="22" t="s">
        <v>112</v>
      </c>
      <c r="G252" s="22" t="s">
        <v>113</v>
      </c>
      <c r="H252" s="22" t="s">
        <v>121</v>
      </c>
      <c r="I252" s="23">
        <v>182485.09</v>
      </c>
      <c r="J252" s="23">
        <v>3.05</v>
      </c>
      <c r="K252" s="22">
        <v>24</v>
      </c>
      <c r="L252" s="22">
        <v>41</v>
      </c>
      <c r="M252" s="22" t="s">
        <v>131</v>
      </c>
    </row>
    <row r="253" spans="1:13" ht="16.5" customHeight="1" x14ac:dyDescent="0.45">
      <c r="A253" s="20" t="s">
        <v>579</v>
      </c>
      <c r="B253" s="20" t="s">
        <v>400</v>
      </c>
      <c r="C253" s="20" t="s">
        <v>147</v>
      </c>
      <c r="D253" s="20" t="s">
        <v>110</v>
      </c>
      <c r="E253" s="20" t="s">
        <v>111</v>
      </c>
      <c r="F253" s="20" t="s">
        <v>125</v>
      </c>
      <c r="G253" s="20" t="s">
        <v>130</v>
      </c>
      <c r="H253" s="20" t="s">
        <v>126</v>
      </c>
      <c r="I253" s="21">
        <v>212365.69</v>
      </c>
      <c r="J253" s="21">
        <v>6.23</v>
      </c>
      <c r="K253" s="20">
        <v>360</v>
      </c>
      <c r="L253" s="20">
        <v>42</v>
      </c>
      <c r="M253" s="20" t="s">
        <v>131</v>
      </c>
    </row>
    <row r="254" spans="1:13" ht="16.5" customHeight="1" x14ac:dyDescent="0.45">
      <c r="A254" s="22" t="s">
        <v>580</v>
      </c>
      <c r="B254" s="22" t="s">
        <v>581</v>
      </c>
      <c r="C254" s="22" t="s">
        <v>109</v>
      </c>
      <c r="D254" s="22" t="s">
        <v>139</v>
      </c>
      <c r="E254" s="22" t="s">
        <v>140</v>
      </c>
      <c r="F254" s="22" t="s">
        <v>119</v>
      </c>
      <c r="G254" s="22" t="s">
        <v>113</v>
      </c>
      <c r="H254" s="22" t="s">
        <v>121</v>
      </c>
      <c r="I254" s="23">
        <v>85127.84</v>
      </c>
      <c r="J254" s="23">
        <v>6.68</v>
      </c>
      <c r="K254" s="22">
        <v>60</v>
      </c>
      <c r="L254" s="22">
        <v>64</v>
      </c>
      <c r="M254" s="22" t="s">
        <v>115</v>
      </c>
    </row>
    <row r="255" spans="1:13" ht="16.5" customHeight="1" x14ac:dyDescent="0.45">
      <c r="A255" s="20" t="s">
        <v>582</v>
      </c>
      <c r="B255" s="20" t="s">
        <v>583</v>
      </c>
      <c r="C255" s="20" t="s">
        <v>109</v>
      </c>
      <c r="D255" s="20" t="s">
        <v>110</v>
      </c>
      <c r="E255" s="20" t="s">
        <v>111</v>
      </c>
      <c r="F255" s="20" t="s">
        <v>119</v>
      </c>
      <c r="G255" s="20" t="s">
        <v>113</v>
      </c>
      <c r="H255" s="20" t="s">
        <v>114</v>
      </c>
      <c r="I255" s="21">
        <v>207935.11</v>
      </c>
      <c r="J255" s="21">
        <v>7.15</v>
      </c>
      <c r="K255" s="20">
        <v>24</v>
      </c>
      <c r="L255" s="20">
        <v>22</v>
      </c>
      <c r="M255" s="20" t="s">
        <v>131</v>
      </c>
    </row>
    <row r="256" spans="1:13" ht="16.5" customHeight="1" x14ac:dyDescent="0.45">
      <c r="A256" s="22" t="s">
        <v>584</v>
      </c>
      <c r="B256" s="22" t="s">
        <v>158</v>
      </c>
      <c r="C256" s="22" t="s">
        <v>176</v>
      </c>
      <c r="D256" s="22" t="s">
        <v>163</v>
      </c>
      <c r="E256" s="22" t="s">
        <v>135</v>
      </c>
      <c r="F256" s="22" t="s">
        <v>125</v>
      </c>
      <c r="G256" s="22" t="s">
        <v>113</v>
      </c>
      <c r="H256" s="22" t="s">
        <v>114</v>
      </c>
      <c r="I256" s="23">
        <v>187927.09</v>
      </c>
      <c r="J256" s="23">
        <v>13.45</v>
      </c>
      <c r="K256" s="22">
        <v>36</v>
      </c>
      <c r="L256" s="22">
        <v>47</v>
      </c>
      <c r="M256" s="22" t="s">
        <v>131</v>
      </c>
    </row>
    <row r="257" spans="1:13" ht="16.5" customHeight="1" x14ac:dyDescent="0.45">
      <c r="A257" s="20" t="s">
        <v>585</v>
      </c>
      <c r="B257" s="20" t="s">
        <v>509</v>
      </c>
      <c r="C257" s="20" t="s">
        <v>176</v>
      </c>
      <c r="D257" s="20" t="s">
        <v>163</v>
      </c>
      <c r="E257" s="20" t="s">
        <v>135</v>
      </c>
      <c r="F257" s="20" t="s">
        <v>141</v>
      </c>
      <c r="G257" s="20" t="s">
        <v>113</v>
      </c>
      <c r="H257" s="20" t="s">
        <v>114</v>
      </c>
      <c r="I257" s="21">
        <v>97189.87</v>
      </c>
      <c r="J257" s="21">
        <v>6.75</v>
      </c>
      <c r="K257" s="20">
        <v>24</v>
      </c>
      <c r="L257" s="20">
        <v>24</v>
      </c>
      <c r="M257" s="20" t="s">
        <v>115</v>
      </c>
    </row>
    <row r="258" spans="1:13" ht="16.5" customHeight="1" x14ac:dyDescent="0.45">
      <c r="A258" s="22" t="s">
        <v>586</v>
      </c>
      <c r="B258" s="22" t="s">
        <v>587</v>
      </c>
      <c r="C258" s="22" t="s">
        <v>176</v>
      </c>
      <c r="D258" s="22" t="s">
        <v>134</v>
      </c>
      <c r="E258" s="22" t="s">
        <v>135</v>
      </c>
      <c r="F258" s="22" t="s">
        <v>136</v>
      </c>
      <c r="G258" s="22" t="s">
        <v>130</v>
      </c>
      <c r="H258" s="22" t="s">
        <v>121</v>
      </c>
      <c r="I258" s="23">
        <v>124026.8</v>
      </c>
      <c r="J258" s="23">
        <v>9.9700000000000006</v>
      </c>
      <c r="K258" s="22">
        <v>180</v>
      </c>
      <c r="L258" s="22">
        <v>75</v>
      </c>
      <c r="M258" s="22" t="s">
        <v>131</v>
      </c>
    </row>
    <row r="259" spans="1:13" ht="16.5" customHeight="1" x14ac:dyDescent="0.45">
      <c r="A259" s="20" t="s">
        <v>588</v>
      </c>
      <c r="B259" s="20" t="s">
        <v>547</v>
      </c>
      <c r="C259" s="20" t="s">
        <v>124</v>
      </c>
      <c r="D259" s="20" t="s">
        <v>139</v>
      </c>
      <c r="E259" s="20" t="s">
        <v>140</v>
      </c>
      <c r="F259" s="20" t="s">
        <v>119</v>
      </c>
      <c r="G259" s="20" t="s">
        <v>113</v>
      </c>
      <c r="H259" s="20" t="s">
        <v>126</v>
      </c>
      <c r="I259" s="21">
        <v>197133.96</v>
      </c>
      <c r="J259" s="21"/>
      <c r="K259" s="20">
        <v>120</v>
      </c>
      <c r="L259" s="20">
        <v>64</v>
      </c>
      <c r="M259" s="20" t="s">
        <v>131</v>
      </c>
    </row>
    <row r="260" spans="1:13" ht="16.5" customHeight="1" x14ac:dyDescent="0.45">
      <c r="A260" s="22" t="s">
        <v>589</v>
      </c>
      <c r="B260" s="22" t="s">
        <v>590</v>
      </c>
      <c r="C260" s="22" t="s">
        <v>124</v>
      </c>
      <c r="D260" s="22" t="s">
        <v>118</v>
      </c>
      <c r="E260" s="22" t="s">
        <v>111</v>
      </c>
      <c r="F260" s="22" t="s">
        <v>119</v>
      </c>
      <c r="G260" s="22" t="s">
        <v>113</v>
      </c>
      <c r="H260" s="22" t="s">
        <v>114</v>
      </c>
      <c r="I260" s="23">
        <v>132623.19</v>
      </c>
      <c r="J260" s="23">
        <v>10.43</v>
      </c>
      <c r="K260" s="22">
        <v>36</v>
      </c>
      <c r="L260" s="22">
        <v>34</v>
      </c>
      <c r="M260" s="22" t="s">
        <v>131</v>
      </c>
    </row>
    <row r="261" spans="1:13" ht="16.5" customHeight="1" x14ac:dyDescent="0.45">
      <c r="A261" s="20" t="s">
        <v>591</v>
      </c>
      <c r="B261" s="20" t="s">
        <v>592</v>
      </c>
      <c r="C261" s="20" t="s">
        <v>109</v>
      </c>
      <c r="D261" s="20" t="s">
        <v>156</v>
      </c>
      <c r="E261" s="20" t="s">
        <v>111</v>
      </c>
      <c r="F261" s="20" t="s">
        <v>141</v>
      </c>
      <c r="G261" s="20" t="s">
        <v>113</v>
      </c>
      <c r="H261" s="20" t="s">
        <v>121</v>
      </c>
      <c r="I261" s="21">
        <v>50159.07</v>
      </c>
      <c r="J261" s="21">
        <v>7.26</v>
      </c>
      <c r="K261" s="20">
        <v>24</v>
      </c>
      <c r="L261" s="20">
        <v>63</v>
      </c>
      <c r="M261" s="20" t="s">
        <v>115</v>
      </c>
    </row>
    <row r="262" spans="1:13" ht="16.5" customHeight="1" x14ac:dyDescent="0.45">
      <c r="A262" s="22" t="s">
        <v>593</v>
      </c>
      <c r="B262" s="22" t="s">
        <v>261</v>
      </c>
      <c r="C262" s="22" t="s">
        <v>124</v>
      </c>
      <c r="D262" s="22" t="s">
        <v>118</v>
      </c>
      <c r="E262" s="22" t="s">
        <v>111</v>
      </c>
      <c r="F262" s="22" t="s">
        <v>119</v>
      </c>
      <c r="G262" s="22" t="s">
        <v>113</v>
      </c>
      <c r="H262" s="22" t="s">
        <v>126</v>
      </c>
      <c r="I262" s="23">
        <v>86152.1</v>
      </c>
      <c r="J262" s="23">
        <v>7.75</v>
      </c>
      <c r="K262" s="22">
        <v>240</v>
      </c>
      <c r="L262" s="22">
        <v>49</v>
      </c>
      <c r="M262" s="22" t="s">
        <v>115</v>
      </c>
    </row>
    <row r="263" spans="1:13" ht="16.5" customHeight="1" x14ac:dyDescent="0.45">
      <c r="A263" s="20" t="s">
        <v>594</v>
      </c>
      <c r="B263" s="20" t="s">
        <v>590</v>
      </c>
      <c r="C263" s="20" t="s">
        <v>144</v>
      </c>
      <c r="D263" s="20" t="s">
        <v>156</v>
      </c>
      <c r="E263" s="20" t="s">
        <v>111</v>
      </c>
      <c r="F263" s="20" t="s">
        <v>112</v>
      </c>
      <c r="G263" s="20" t="s">
        <v>113</v>
      </c>
      <c r="H263" s="20" t="s">
        <v>121</v>
      </c>
      <c r="I263" s="21">
        <v>168323.07</v>
      </c>
      <c r="J263" s="21">
        <v>6.4</v>
      </c>
      <c r="K263" s="20">
        <v>12</v>
      </c>
      <c r="L263" s="20">
        <v>66</v>
      </c>
      <c r="M263" s="20" t="s">
        <v>131</v>
      </c>
    </row>
    <row r="264" spans="1:13" ht="16.5" customHeight="1" x14ac:dyDescent="0.45">
      <c r="A264" s="22" t="s">
        <v>595</v>
      </c>
      <c r="B264" s="22" t="s">
        <v>567</v>
      </c>
      <c r="C264" s="22" t="s">
        <v>124</v>
      </c>
      <c r="D264" s="22" t="s">
        <v>110</v>
      </c>
      <c r="E264" s="22" t="s">
        <v>111</v>
      </c>
      <c r="F264" s="22" t="s">
        <v>141</v>
      </c>
      <c r="G264" s="22" t="s">
        <v>120</v>
      </c>
      <c r="H264" s="22" t="s">
        <v>126</v>
      </c>
      <c r="I264" s="23">
        <v>36516.29</v>
      </c>
      <c r="J264" s="23">
        <v>13.52</v>
      </c>
      <c r="K264" s="22">
        <v>36</v>
      </c>
      <c r="L264" s="22">
        <v>60</v>
      </c>
      <c r="M264" s="22" t="s">
        <v>115</v>
      </c>
    </row>
    <row r="265" spans="1:13" ht="16.5" customHeight="1" x14ac:dyDescent="0.45">
      <c r="A265" s="20" t="s">
        <v>596</v>
      </c>
      <c r="B265" s="20" t="s">
        <v>367</v>
      </c>
      <c r="C265" s="20" t="s">
        <v>144</v>
      </c>
      <c r="D265" s="20" t="s">
        <v>159</v>
      </c>
      <c r="E265" s="20" t="s">
        <v>135</v>
      </c>
      <c r="F265" s="20" t="s">
        <v>112</v>
      </c>
      <c r="G265" s="20" t="s">
        <v>120</v>
      </c>
      <c r="H265" s="20" t="s">
        <v>114</v>
      </c>
      <c r="I265" s="21">
        <v>201969.93</v>
      </c>
      <c r="J265" s="21">
        <v>3.32</v>
      </c>
      <c r="K265" s="20">
        <v>240</v>
      </c>
      <c r="L265" s="20">
        <v>57</v>
      </c>
      <c r="M265" s="20" t="s">
        <v>131</v>
      </c>
    </row>
    <row r="266" spans="1:13" ht="16.5" customHeight="1" x14ac:dyDescent="0.45">
      <c r="A266" s="22" t="s">
        <v>597</v>
      </c>
      <c r="B266" s="22" t="s">
        <v>398</v>
      </c>
      <c r="C266" s="22" t="s">
        <v>109</v>
      </c>
      <c r="D266" s="22" t="s">
        <v>110</v>
      </c>
      <c r="E266" s="22" t="s">
        <v>111</v>
      </c>
      <c r="F266" s="22" t="s">
        <v>125</v>
      </c>
      <c r="G266" s="22" t="s">
        <v>130</v>
      </c>
      <c r="H266" s="22" t="s">
        <v>121</v>
      </c>
      <c r="I266" s="23"/>
      <c r="J266" s="23">
        <v>4.76</v>
      </c>
      <c r="K266" s="22">
        <v>36</v>
      </c>
      <c r="L266" s="22">
        <v>28</v>
      </c>
      <c r="M266" s="22" t="s">
        <v>115</v>
      </c>
    </row>
    <row r="267" spans="1:13" ht="16.5" customHeight="1" x14ac:dyDescent="0.45">
      <c r="A267" s="20" t="s">
        <v>598</v>
      </c>
      <c r="B267" s="20" t="s">
        <v>290</v>
      </c>
      <c r="C267" s="20" t="s">
        <v>176</v>
      </c>
      <c r="D267" s="20" t="s">
        <v>139</v>
      </c>
      <c r="E267" s="20" t="s">
        <v>140</v>
      </c>
      <c r="F267" s="20" t="s">
        <v>112</v>
      </c>
      <c r="G267" s="20" t="s">
        <v>130</v>
      </c>
      <c r="H267" s="20" t="s">
        <v>114</v>
      </c>
      <c r="I267" s="21">
        <v>178694.34</v>
      </c>
      <c r="J267" s="21">
        <v>13.84</v>
      </c>
      <c r="K267" s="20">
        <v>12</v>
      </c>
      <c r="L267" s="20">
        <v>38</v>
      </c>
      <c r="M267" s="20" t="s">
        <v>131</v>
      </c>
    </row>
    <row r="268" spans="1:13" ht="16.5" customHeight="1" x14ac:dyDescent="0.45">
      <c r="A268" s="22" t="s">
        <v>599</v>
      </c>
      <c r="B268" s="22" t="s">
        <v>600</v>
      </c>
      <c r="C268" s="22" t="s">
        <v>124</v>
      </c>
      <c r="D268" s="22" t="s">
        <v>139</v>
      </c>
      <c r="E268" s="22" t="s">
        <v>140</v>
      </c>
      <c r="F268" s="22" t="s">
        <v>112</v>
      </c>
      <c r="G268" s="22" t="s">
        <v>113</v>
      </c>
      <c r="H268" s="22" t="s">
        <v>114</v>
      </c>
      <c r="I268" s="23">
        <v>158780.25</v>
      </c>
      <c r="J268" s="23">
        <v>7.37</v>
      </c>
      <c r="K268" s="22">
        <v>48</v>
      </c>
      <c r="L268" s="22">
        <v>28</v>
      </c>
      <c r="M268" s="22" t="s">
        <v>131</v>
      </c>
    </row>
    <row r="269" spans="1:13" ht="16.5" customHeight="1" x14ac:dyDescent="0.45">
      <c r="A269" s="20" t="s">
        <v>601</v>
      </c>
      <c r="B269" s="20" t="s">
        <v>443</v>
      </c>
      <c r="C269" s="20" t="s">
        <v>211</v>
      </c>
      <c r="D269" s="20" t="s">
        <v>118</v>
      </c>
      <c r="E269" s="20" t="s">
        <v>111</v>
      </c>
      <c r="F269" s="20" t="s">
        <v>112</v>
      </c>
      <c r="G269" s="20" t="s">
        <v>130</v>
      </c>
      <c r="H269" s="20" t="s">
        <v>121</v>
      </c>
      <c r="I269" s="21">
        <v>29202.61</v>
      </c>
      <c r="J269" s="21">
        <v>4.76</v>
      </c>
      <c r="K269" s="20">
        <v>48</v>
      </c>
      <c r="L269" s="20">
        <v>53</v>
      </c>
      <c r="M269" s="20" t="s">
        <v>115</v>
      </c>
    </row>
    <row r="270" spans="1:13" ht="16.5" customHeight="1" x14ac:dyDescent="0.45">
      <c r="A270" s="22" t="s">
        <v>602</v>
      </c>
      <c r="B270" s="22" t="s">
        <v>603</v>
      </c>
      <c r="C270" s="22" t="s">
        <v>176</v>
      </c>
      <c r="D270" s="22" t="s">
        <v>156</v>
      </c>
      <c r="E270" s="22" t="s">
        <v>111</v>
      </c>
      <c r="F270" s="22" t="s">
        <v>112</v>
      </c>
      <c r="G270" s="22" t="s">
        <v>113</v>
      </c>
      <c r="H270" s="22" t="s">
        <v>121</v>
      </c>
      <c r="I270" s="23">
        <v>41587.879999999997</v>
      </c>
      <c r="J270" s="23">
        <v>13.03</v>
      </c>
      <c r="K270" s="22">
        <v>240</v>
      </c>
      <c r="L270" s="22">
        <v>58</v>
      </c>
      <c r="M270" s="22" t="s">
        <v>115</v>
      </c>
    </row>
    <row r="271" spans="1:13" ht="16.5" customHeight="1" x14ac:dyDescent="0.45">
      <c r="A271" s="20" t="s">
        <v>604</v>
      </c>
      <c r="B271" s="20" t="s">
        <v>231</v>
      </c>
      <c r="C271" s="20" t="s">
        <v>124</v>
      </c>
      <c r="D271" s="20" t="s">
        <v>139</v>
      </c>
      <c r="E271" s="20" t="s">
        <v>140</v>
      </c>
      <c r="F271" s="20" t="s">
        <v>119</v>
      </c>
      <c r="G271" s="20" t="s">
        <v>113</v>
      </c>
      <c r="H271" s="20" t="s">
        <v>114</v>
      </c>
      <c r="I271" s="21">
        <v>196764.72</v>
      </c>
      <c r="J271" s="21">
        <v>6.25</v>
      </c>
      <c r="K271" s="20">
        <v>180</v>
      </c>
      <c r="L271" s="20">
        <v>74</v>
      </c>
      <c r="M271" s="20" t="s">
        <v>131</v>
      </c>
    </row>
    <row r="272" spans="1:13" ht="16.5" customHeight="1" x14ac:dyDescent="0.45">
      <c r="A272" s="22" t="s">
        <v>605</v>
      </c>
      <c r="B272" s="22" t="s">
        <v>606</v>
      </c>
      <c r="C272" s="22" t="s">
        <v>109</v>
      </c>
      <c r="D272" s="22" t="s">
        <v>139</v>
      </c>
      <c r="E272" s="22" t="s">
        <v>140</v>
      </c>
      <c r="F272" s="22" t="s">
        <v>119</v>
      </c>
      <c r="G272" s="22" t="s">
        <v>113</v>
      </c>
      <c r="H272" s="22" t="s">
        <v>114</v>
      </c>
      <c r="I272" s="23">
        <v>49536.69</v>
      </c>
      <c r="J272" s="23">
        <v>6.64</v>
      </c>
      <c r="K272" s="22">
        <v>36</v>
      </c>
      <c r="L272" s="22">
        <v>55</v>
      </c>
      <c r="M272" s="22" t="s">
        <v>115</v>
      </c>
    </row>
    <row r="273" spans="1:13" ht="16.5" customHeight="1" x14ac:dyDescent="0.45">
      <c r="A273" s="20" t="s">
        <v>607</v>
      </c>
      <c r="B273" s="20" t="s">
        <v>459</v>
      </c>
      <c r="C273" s="20" t="s">
        <v>176</v>
      </c>
      <c r="D273" s="20" t="s">
        <v>159</v>
      </c>
      <c r="E273" s="20" t="s">
        <v>135</v>
      </c>
      <c r="F273" s="20" t="s">
        <v>112</v>
      </c>
      <c r="G273" s="20" t="s">
        <v>130</v>
      </c>
      <c r="H273" s="20" t="s">
        <v>114</v>
      </c>
      <c r="I273" s="21">
        <v>185758.45</v>
      </c>
      <c r="J273" s="21">
        <v>7.6</v>
      </c>
      <c r="K273" s="20">
        <v>360</v>
      </c>
      <c r="L273" s="20">
        <v>51</v>
      </c>
      <c r="M273" s="20" t="s">
        <v>131</v>
      </c>
    </row>
    <row r="274" spans="1:13" ht="16.5" customHeight="1" x14ac:dyDescent="0.45">
      <c r="A274" s="22" t="s">
        <v>608</v>
      </c>
      <c r="B274" s="22" t="s">
        <v>609</v>
      </c>
      <c r="C274" s="22" t="s">
        <v>144</v>
      </c>
      <c r="D274" s="22" t="s">
        <v>139</v>
      </c>
      <c r="E274" s="22" t="s">
        <v>140</v>
      </c>
      <c r="F274" s="22" t="s">
        <v>119</v>
      </c>
      <c r="G274" s="22" t="s">
        <v>120</v>
      </c>
      <c r="H274" s="22" t="s">
        <v>126</v>
      </c>
      <c r="I274" s="23">
        <v>13944.78</v>
      </c>
      <c r="J274" s="23">
        <v>5.62</v>
      </c>
      <c r="K274" s="22">
        <v>240</v>
      </c>
      <c r="L274" s="22">
        <v>55</v>
      </c>
      <c r="M274" s="22" t="s">
        <v>189</v>
      </c>
    </row>
    <row r="275" spans="1:13" ht="16.5" customHeight="1" x14ac:dyDescent="0.45">
      <c r="A275" s="20" t="s">
        <v>610</v>
      </c>
      <c r="B275" s="20" t="s">
        <v>611</v>
      </c>
      <c r="C275" s="20" t="s">
        <v>124</v>
      </c>
      <c r="D275" s="20" t="s">
        <v>134</v>
      </c>
      <c r="E275" s="20" t="s">
        <v>135</v>
      </c>
      <c r="F275" s="20" t="s">
        <v>136</v>
      </c>
      <c r="G275" s="20" t="s">
        <v>130</v>
      </c>
      <c r="H275" s="20" t="s">
        <v>121</v>
      </c>
      <c r="I275" s="21">
        <v>146204.15</v>
      </c>
      <c r="J275" s="21">
        <v>10.64</v>
      </c>
      <c r="K275" s="20">
        <v>60</v>
      </c>
      <c r="L275" s="20">
        <v>72</v>
      </c>
      <c r="M275" s="20" t="s">
        <v>131</v>
      </c>
    </row>
    <row r="276" spans="1:13" ht="16.5" customHeight="1" x14ac:dyDescent="0.45">
      <c r="A276" s="22" t="s">
        <v>612</v>
      </c>
      <c r="B276" s="22" t="s">
        <v>613</v>
      </c>
      <c r="C276" s="22" t="s">
        <v>109</v>
      </c>
      <c r="D276" s="22" t="s">
        <v>163</v>
      </c>
      <c r="E276" s="22" t="s">
        <v>135</v>
      </c>
      <c r="F276" s="22" t="s">
        <v>141</v>
      </c>
      <c r="G276" s="22" t="s">
        <v>113</v>
      </c>
      <c r="H276" s="22" t="s">
        <v>114</v>
      </c>
      <c r="I276" s="23">
        <v>230183.88</v>
      </c>
      <c r="J276" s="23">
        <v>6.21</v>
      </c>
      <c r="K276" s="22">
        <v>240</v>
      </c>
      <c r="L276" s="22">
        <v>73</v>
      </c>
      <c r="M276" s="22" t="s">
        <v>131</v>
      </c>
    </row>
    <row r="277" spans="1:13" ht="16.5" customHeight="1" x14ac:dyDescent="0.45">
      <c r="A277" s="20" t="s">
        <v>614</v>
      </c>
      <c r="B277" s="20" t="s">
        <v>615</v>
      </c>
      <c r="C277" s="20" t="s">
        <v>144</v>
      </c>
      <c r="D277" s="20" t="s">
        <v>139</v>
      </c>
      <c r="E277" s="20" t="s">
        <v>140</v>
      </c>
      <c r="F277" s="20" t="s">
        <v>119</v>
      </c>
      <c r="G277" s="20" t="s">
        <v>120</v>
      </c>
      <c r="H277" s="20" t="s">
        <v>114</v>
      </c>
      <c r="I277" s="21">
        <v>103494.28</v>
      </c>
      <c r="J277" s="21">
        <v>4.5199999999999996</v>
      </c>
      <c r="K277" s="20">
        <v>24</v>
      </c>
      <c r="L277" s="20">
        <v>46</v>
      </c>
      <c r="M277" s="20" t="s">
        <v>131</v>
      </c>
    </row>
    <row r="278" spans="1:13" ht="16.5" customHeight="1" x14ac:dyDescent="0.45">
      <c r="A278" s="22" t="s">
        <v>616</v>
      </c>
      <c r="B278" s="22" t="s">
        <v>590</v>
      </c>
      <c r="C278" s="22" t="s">
        <v>109</v>
      </c>
      <c r="D278" s="22" t="s">
        <v>129</v>
      </c>
      <c r="E278" s="22" t="s">
        <v>111</v>
      </c>
      <c r="F278" s="22" t="s">
        <v>119</v>
      </c>
      <c r="G278" s="22" t="s">
        <v>130</v>
      </c>
      <c r="H278" s="22" t="s">
        <v>121</v>
      </c>
      <c r="I278" s="23">
        <v>211805.23</v>
      </c>
      <c r="J278" s="23">
        <v>13.87</v>
      </c>
      <c r="K278" s="22">
        <v>360</v>
      </c>
      <c r="L278" s="22">
        <v>49</v>
      </c>
      <c r="M278" s="22" t="s">
        <v>131</v>
      </c>
    </row>
    <row r="279" spans="1:13" ht="16.5" customHeight="1" x14ac:dyDescent="0.45">
      <c r="A279" s="20" t="s">
        <v>617</v>
      </c>
      <c r="B279" s="20" t="s">
        <v>618</v>
      </c>
      <c r="C279" s="20" t="s">
        <v>176</v>
      </c>
      <c r="D279" s="20" t="s">
        <v>110</v>
      </c>
      <c r="E279" s="20" t="s">
        <v>111</v>
      </c>
      <c r="F279" s="20" t="s">
        <v>119</v>
      </c>
      <c r="G279" s="20" t="s">
        <v>120</v>
      </c>
      <c r="H279" s="20" t="s">
        <v>114</v>
      </c>
      <c r="I279" s="21">
        <v>220387.27</v>
      </c>
      <c r="J279" s="21">
        <v>9.15</v>
      </c>
      <c r="K279" s="20">
        <v>60</v>
      </c>
      <c r="L279" s="20">
        <v>66</v>
      </c>
      <c r="M279" s="20" t="s">
        <v>131</v>
      </c>
    </row>
    <row r="280" spans="1:13" ht="16.5" customHeight="1" x14ac:dyDescent="0.45">
      <c r="A280" s="22" t="s">
        <v>619</v>
      </c>
      <c r="B280" s="22" t="s">
        <v>239</v>
      </c>
      <c r="C280" s="22" t="s">
        <v>124</v>
      </c>
      <c r="D280" s="22" t="s">
        <v>134</v>
      </c>
      <c r="E280" s="22" t="s">
        <v>135</v>
      </c>
      <c r="F280" s="22" t="s">
        <v>136</v>
      </c>
      <c r="G280" s="22" t="s">
        <v>130</v>
      </c>
      <c r="H280" s="22" t="s">
        <v>121</v>
      </c>
      <c r="I280" s="23">
        <v>81693.070000000007</v>
      </c>
      <c r="J280" s="23">
        <v>8.84</v>
      </c>
      <c r="K280" s="22">
        <v>12</v>
      </c>
      <c r="L280" s="22">
        <v>56</v>
      </c>
      <c r="M280" s="22" t="s">
        <v>115</v>
      </c>
    </row>
    <row r="281" spans="1:13" ht="16.5" customHeight="1" x14ac:dyDescent="0.45">
      <c r="A281" s="20" t="s">
        <v>620</v>
      </c>
      <c r="B281" s="20" t="s">
        <v>621</v>
      </c>
      <c r="C281" s="20" t="s">
        <v>124</v>
      </c>
      <c r="D281" s="20" t="s">
        <v>156</v>
      </c>
      <c r="E281" s="20" t="s">
        <v>111</v>
      </c>
      <c r="F281" s="20" t="s">
        <v>112</v>
      </c>
      <c r="G281" s="20" t="s">
        <v>130</v>
      </c>
      <c r="H281" s="20" t="s">
        <v>114</v>
      </c>
      <c r="I281" s="21">
        <v>112832.42</v>
      </c>
      <c r="J281" s="21">
        <v>13.47</v>
      </c>
      <c r="K281" s="20">
        <v>60</v>
      </c>
      <c r="L281" s="20">
        <v>49</v>
      </c>
      <c r="M281" s="20" t="s">
        <v>131</v>
      </c>
    </row>
    <row r="282" spans="1:13" ht="16.5" customHeight="1" x14ac:dyDescent="0.45">
      <c r="A282" s="22" t="s">
        <v>622</v>
      </c>
      <c r="B282" s="22" t="s">
        <v>470</v>
      </c>
      <c r="C282" s="22" t="s">
        <v>124</v>
      </c>
      <c r="D282" s="22" t="s">
        <v>159</v>
      </c>
      <c r="E282" s="22" t="s">
        <v>135</v>
      </c>
      <c r="F282" s="22" t="s">
        <v>119</v>
      </c>
      <c r="G282" s="22" t="s">
        <v>113</v>
      </c>
      <c r="H282" s="22" t="s">
        <v>121</v>
      </c>
      <c r="I282" s="23">
        <v>64114.46</v>
      </c>
      <c r="J282" s="23">
        <v>11.57</v>
      </c>
      <c r="K282" s="22">
        <v>24</v>
      </c>
      <c r="L282" s="22">
        <v>40</v>
      </c>
      <c r="M282" s="22" t="s">
        <v>115</v>
      </c>
    </row>
    <row r="283" spans="1:13" ht="16.5" customHeight="1" x14ac:dyDescent="0.45">
      <c r="A283" s="20" t="s">
        <v>623</v>
      </c>
      <c r="B283" s="20" t="s">
        <v>507</v>
      </c>
      <c r="C283" s="20" t="s">
        <v>109</v>
      </c>
      <c r="D283" s="20" t="s">
        <v>134</v>
      </c>
      <c r="E283" s="20" t="s">
        <v>135</v>
      </c>
      <c r="F283" s="20" t="s">
        <v>136</v>
      </c>
      <c r="G283" s="20" t="s">
        <v>113</v>
      </c>
      <c r="H283" s="20" t="s">
        <v>126</v>
      </c>
      <c r="I283" s="21">
        <v>152820.07</v>
      </c>
      <c r="J283" s="21">
        <v>3.95</v>
      </c>
      <c r="K283" s="20">
        <v>36</v>
      </c>
      <c r="L283" s="20">
        <v>40</v>
      </c>
      <c r="M283" s="20" t="s">
        <v>131</v>
      </c>
    </row>
    <row r="284" spans="1:13" ht="16.5" customHeight="1" x14ac:dyDescent="0.45">
      <c r="A284" s="22" t="s">
        <v>624</v>
      </c>
      <c r="B284" s="22" t="s">
        <v>553</v>
      </c>
      <c r="C284" s="22" t="s">
        <v>147</v>
      </c>
      <c r="D284" s="22" t="s">
        <v>163</v>
      </c>
      <c r="E284" s="22" t="s">
        <v>135</v>
      </c>
      <c r="F284" s="22" t="s">
        <v>112</v>
      </c>
      <c r="G284" s="22" t="s">
        <v>113</v>
      </c>
      <c r="H284" s="22" t="s">
        <v>121</v>
      </c>
      <c r="I284" s="23">
        <v>208955.09</v>
      </c>
      <c r="J284" s="23">
        <v>10.220000000000001</v>
      </c>
      <c r="K284" s="22">
        <v>60</v>
      </c>
      <c r="L284" s="22">
        <v>22</v>
      </c>
      <c r="M284" s="22" t="s">
        <v>131</v>
      </c>
    </row>
    <row r="285" spans="1:13" ht="16.5" customHeight="1" x14ac:dyDescent="0.45">
      <c r="A285" s="20" t="s">
        <v>625</v>
      </c>
      <c r="B285" s="20" t="s">
        <v>567</v>
      </c>
      <c r="C285" s="20" t="s">
        <v>109</v>
      </c>
      <c r="D285" s="20" t="s">
        <v>156</v>
      </c>
      <c r="E285" s="20" t="s">
        <v>111</v>
      </c>
      <c r="F285" s="20" t="s">
        <v>119</v>
      </c>
      <c r="G285" s="20" t="s">
        <v>113</v>
      </c>
      <c r="H285" s="20" t="s">
        <v>121</v>
      </c>
      <c r="I285" s="21">
        <v>11918.1</v>
      </c>
      <c r="J285" s="21">
        <v>8.5399999999999991</v>
      </c>
      <c r="K285" s="20">
        <v>24</v>
      </c>
      <c r="L285" s="20">
        <v>27</v>
      </c>
      <c r="M285" s="20" t="s">
        <v>189</v>
      </c>
    </row>
    <row r="286" spans="1:13" ht="16.5" customHeight="1" x14ac:dyDescent="0.45">
      <c r="A286" s="22" t="s">
        <v>626</v>
      </c>
      <c r="B286" s="22" t="s">
        <v>361</v>
      </c>
      <c r="C286" s="22" t="s">
        <v>176</v>
      </c>
      <c r="D286" s="22" t="s">
        <v>118</v>
      </c>
      <c r="E286" s="22" t="s">
        <v>111</v>
      </c>
      <c r="F286" s="22" t="s">
        <v>112</v>
      </c>
      <c r="G286" s="22" t="s">
        <v>113</v>
      </c>
      <c r="H286" s="22" t="s">
        <v>114</v>
      </c>
      <c r="I286" s="23">
        <v>39549.14</v>
      </c>
      <c r="J286" s="23">
        <v>7.75</v>
      </c>
      <c r="K286" s="22">
        <v>60</v>
      </c>
      <c r="L286" s="22">
        <v>33</v>
      </c>
      <c r="M286" s="22" t="s">
        <v>115</v>
      </c>
    </row>
    <row r="287" spans="1:13" ht="16.5" customHeight="1" x14ac:dyDescent="0.45">
      <c r="A287" s="20" t="s">
        <v>627</v>
      </c>
      <c r="B287" s="20" t="s">
        <v>288</v>
      </c>
      <c r="C287" s="20" t="s">
        <v>176</v>
      </c>
      <c r="D287" s="20" t="s">
        <v>118</v>
      </c>
      <c r="E287" s="20" t="s">
        <v>111</v>
      </c>
      <c r="F287" s="20" t="s">
        <v>119</v>
      </c>
      <c r="G287" s="20" t="s">
        <v>113</v>
      </c>
      <c r="H287" s="20" t="s">
        <v>126</v>
      </c>
      <c r="I287" s="21">
        <v>226554.49</v>
      </c>
      <c r="J287" s="21">
        <v>3.12</v>
      </c>
      <c r="K287" s="20">
        <v>48</v>
      </c>
      <c r="L287" s="20">
        <v>35</v>
      </c>
      <c r="M287" s="20" t="s">
        <v>131</v>
      </c>
    </row>
    <row r="288" spans="1:13" ht="16.5" customHeight="1" x14ac:dyDescent="0.45">
      <c r="A288" s="22" t="s">
        <v>628</v>
      </c>
      <c r="B288" s="22" t="s">
        <v>629</v>
      </c>
      <c r="C288" s="22" t="s">
        <v>109</v>
      </c>
      <c r="D288" s="22" t="s">
        <v>129</v>
      </c>
      <c r="E288" s="22" t="s">
        <v>111</v>
      </c>
      <c r="F288" s="22" t="s">
        <v>125</v>
      </c>
      <c r="G288" s="22" t="s">
        <v>113</v>
      </c>
      <c r="H288" s="22" t="s">
        <v>121</v>
      </c>
      <c r="I288" s="23">
        <v>155099.14000000001</v>
      </c>
      <c r="J288" s="23">
        <v>11.12</v>
      </c>
      <c r="K288" s="22">
        <v>360</v>
      </c>
      <c r="L288" s="22">
        <v>65</v>
      </c>
      <c r="M288" s="22" t="s">
        <v>131</v>
      </c>
    </row>
    <row r="289" spans="1:13" ht="16.5" customHeight="1" x14ac:dyDescent="0.45">
      <c r="A289" s="20" t="s">
        <v>630</v>
      </c>
      <c r="B289" s="20" t="s">
        <v>422</v>
      </c>
      <c r="C289" s="20" t="s">
        <v>109</v>
      </c>
      <c r="D289" s="20" t="s">
        <v>139</v>
      </c>
      <c r="E289" s="20" t="s">
        <v>140</v>
      </c>
      <c r="F289" s="20" t="s">
        <v>125</v>
      </c>
      <c r="G289" s="20" t="s">
        <v>113</v>
      </c>
      <c r="H289" s="20" t="s">
        <v>126</v>
      </c>
      <c r="I289" s="21">
        <v>249851.93</v>
      </c>
      <c r="J289" s="21">
        <v>10.69</v>
      </c>
      <c r="K289" s="20">
        <v>36</v>
      </c>
      <c r="L289" s="20">
        <v>35</v>
      </c>
      <c r="M289" s="20" t="s">
        <v>131</v>
      </c>
    </row>
    <row r="290" spans="1:13" ht="16.5" customHeight="1" x14ac:dyDescent="0.45">
      <c r="A290" s="22" t="s">
        <v>631</v>
      </c>
      <c r="B290" s="22" t="s">
        <v>346</v>
      </c>
      <c r="C290" s="22" t="s">
        <v>147</v>
      </c>
      <c r="D290" s="22" t="s">
        <v>134</v>
      </c>
      <c r="E290" s="22" t="s">
        <v>135</v>
      </c>
      <c r="F290" s="22" t="s">
        <v>119</v>
      </c>
      <c r="G290" s="22" t="s">
        <v>120</v>
      </c>
      <c r="H290" s="22" t="s">
        <v>121</v>
      </c>
      <c r="I290" s="23">
        <v>22071.89</v>
      </c>
      <c r="J290" s="23">
        <v>8.6</v>
      </c>
      <c r="K290" s="22">
        <v>120</v>
      </c>
      <c r="L290" s="22">
        <v>23</v>
      </c>
      <c r="M290" s="22" t="s">
        <v>189</v>
      </c>
    </row>
    <row r="291" spans="1:13" ht="16.5" customHeight="1" x14ac:dyDescent="0.45">
      <c r="A291" s="20" t="s">
        <v>632</v>
      </c>
      <c r="B291" s="20" t="s">
        <v>223</v>
      </c>
      <c r="C291" s="20" t="s">
        <v>144</v>
      </c>
      <c r="D291" s="20" t="s">
        <v>129</v>
      </c>
      <c r="E291" s="20" t="s">
        <v>111</v>
      </c>
      <c r="F291" s="20" t="s">
        <v>112</v>
      </c>
      <c r="G291" s="20" t="s">
        <v>113</v>
      </c>
      <c r="H291" s="20" t="s">
        <v>121</v>
      </c>
      <c r="I291" s="21">
        <v>245989.17</v>
      </c>
      <c r="J291" s="21">
        <v>13.32</v>
      </c>
      <c r="K291" s="20">
        <v>240</v>
      </c>
      <c r="L291" s="20">
        <v>28</v>
      </c>
      <c r="M291" s="20" t="s">
        <v>131</v>
      </c>
    </row>
    <row r="292" spans="1:13" ht="16.5" customHeight="1" x14ac:dyDescent="0.45">
      <c r="A292" s="22" t="s">
        <v>633</v>
      </c>
      <c r="B292" s="22" t="s">
        <v>408</v>
      </c>
      <c r="C292" s="22" t="s">
        <v>144</v>
      </c>
      <c r="D292" s="22" t="s">
        <v>156</v>
      </c>
      <c r="E292" s="22" t="s">
        <v>111</v>
      </c>
      <c r="F292" s="22" t="s">
        <v>125</v>
      </c>
      <c r="G292" s="22" t="s">
        <v>113</v>
      </c>
      <c r="H292" s="22" t="s">
        <v>114</v>
      </c>
      <c r="I292" s="23">
        <v>46279.05</v>
      </c>
      <c r="J292" s="23">
        <v>8.08</v>
      </c>
      <c r="K292" s="22">
        <v>12</v>
      </c>
      <c r="L292" s="22">
        <v>61</v>
      </c>
      <c r="M292" s="22" t="s">
        <v>115</v>
      </c>
    </row>
    <row r="293" spans="1:13" ht="16.5" customHeight="1" x14ac:dyDescent="0.45">
      <c r="A293" s="20" t="s">
        <v>634</v>
      </c>
      <c r="B293" s="20" t="s">
        <v>635</v>
      </c>
      <c r="C293" s="20" t="s">
        <v>109</v>
      </c>
      <c r="D293" s="20" t="s">
        <v>118</v>
      </c>
      <c r="E293" s="20" t="s">
        <v>111</v>
      </c>
      <c r="F293" s="20" t="s">
        <v>119</v>
      </c>
      <c r="G293" s="20" t="s">
        <v>113</v>
      </c>
      <c r="H293" s="20" t="s">
        <v>114</v>
      </c>
      <c r="I293" s="21">
        <v>54854.44</v>
      </c>
      <c r="J293" s="21">
        <v>2.73</v>
      </c>
      <c r="K293" s="20">
        <v>24</v>
      </c>
      <c r="L293" s="20">
        <v>72</v>
      </c>
      <c r="M293" s="20" t="s">
        <v>115</v>
      </c>
    </row>
    <row r="294" spans="1:13" ht="16.5" customHeight="1" x14ac:dyDescent="0.45">
      <c r="A294" s="22" t="s">
        <v>636</v>
      </c>
      <c r="B294" s="22" t="s">
        <v>637</v>
      </c>
      <c r="C294" s="22" t="s">
        <v>176</v>
      </c>
      <c r="D294" s="22" t="s">
        <v>159</v>
      </c>
      <c r="E294" s="22" t="s">
        <v>135</v>
      </c>
      <c r="F294" s="22" t="s">
        <v>119</v>
      </c>
      <c r="G294" s="22" t="s">
        <v>113</v>
      </c>
      <c r="H294" s="22" t="s">
        <v>126</v>
      </c>
      <c r="I294" s="23">
        <v>126870.88</v>
      </c>
      <c r="J294" s="23">
        <v>8.43</v>
      </c>
      <c r="K294" s="22">
        <v>12</v>
      </c>
      <c r="L294" s="22">
        <v>71</v>
      </c>
      <c r="M294" s="22" t="s">
        <v>131</v>
      </c>
    </row>
    <row r="295" spans="1:13" ht="16.5" customHeight="1" x14ac:dyDescent="0.45">
      <c r="A295" s="20" t="s">
        <v>638</v>
      </c>
      <c r="B295" s="20" t="s">
        <v>639</v>
      </c>
      <c r="C295" s="20" t="s">
        <v>124</v>
      </c>
      <c r="D295" s="20" t="s">
        <v>129</v>
      </c>
      <c r="E295" s="20" t="s">
        <v>111</v>
      </c>
      <c r="F295" s="20" t="s">
        <v>136</v>
      </c>
      <c r="G295" s="20" t="s">
        <v>130</v>
      </c>
      <c r="H295" s="20" t="s">
        <v>126</v>
      </c>
      <c r="I295" s="21">
        <v>154028.74</v>
      </c>
      <c r="J295" s="21">
        <v>8.5299999999999994</v>
      </c>
      <c r="K295" s="20">
        <v>360</v>
      </c>
      <c r="L295" s="20">
        <v>45</v>
      </c>
      <c r="M295" s="20" t="s">
        <v>131</v>
      </c>
    </row>
    <row r="296" spans="1:13" ht="16.5" customHeight="1" x14ac:dyDescent="0.45">
      <c r="A296" s="22" t="s">
        <v>640</v>
      </c>
      <c r="B296" s="22" t="s">
        <v>430</v>
      </c>
      <c r="C296" s="22" t="s">
        <v>124</v>
      </c>
      <c r="D296" s="22" t="s">
        <v>129</v>
      </c>
      <c r="E296" s="22" t="s">
        <v>111</v>
      </c>
      <c r="F296" s="22" t="s">
        <v>136</v>
      </c>
      <c r="G296" s="22" t="s">
        <v>113</v>
      </c>
      <c r="H296" s="22" t="s">
        <v>114</v>
      </c>
      <c r="I296" s="23">
        <v>229378.71</v>
      </c>
      <c r="J296" s="23">
        <v>6.26</v>
      </c>
      <c r="K296" s="22">
        <v>240</v>
      </c>
      <c r="L296" s="22">
        <v>63</v>
      </c>
      <c r="M296" s="22" t="s">
        <v>131</v>
      </c>
    </row>
    <row r="297" spans="1:13" ht="16.5" customHeight="1" x14ac:dyDescent="0.45">
      <c r="A297" s="20" t="s">
        <v>641</v>
      </c>
      <c r="B297" s="20" t="s">
        <v>642</v>
      </c>
      <c r="C297" s="20" t="s">
        <v>144</v>
      </c>
      <c r="D297" s="20" t="s">
        <v>129</v>
      </c>
      <c r="E297" s="20" t="s">
        <v>111</v>
      </c>
      <c r="F297" s="20" t="s">
        <v>112</v>
      </c>
      <c r="G297" s="20" t="s">
        <v>113</v>
      </c>
      <c r="H297" s="20" t="s">
        <v>121</v>
      </c>
      <c r="I297" s="21">
        <v>171824.76</v>
      </c>
      <c r="J297" s="21">
        <v>2.56</v>
      </c>
      <c r="K297" s="20">
        <v>180</v>
      </c>
      <c r="L297" s="20">
        <v>56</v>
      </c>
      <c r="M297" s="20" t="s">
        <v>131</v>
      </c>
    </row>
    <row r="298" spans="1:13" ht="16.5" customHeight="1" x14ac:dyDescent="0.45">
      <c r="A298" s="22" t="s">
        <v>643</v>
      </c>
      <c r="B298" s="22" t="s">
        <v>263</v>
      </c>
      <c r="C298" s="22" t="s">
        <v>144</v>
      </c>
      <c r="D298" s="22" t="s">
        <v>139</v>
      </c>
      <c r="E298" s="22" t="s">
        <v>140</v>
      </c>
      <c r="F298" s="22" t="s">
        <v>136</v>
      </c>
      <c r="G298" s="22" t="s">
        <v>113</v>
      </c>
      <c r="H298" s="22" t="s">
        <v>126</v>
      </c>
      <c r="I298" s="23">
        <v>72137.789999999994</v>
      </c>
      <c r="J298" s="23">
        <v>6.64</v>
      </c>
      <c r="K298" s="22">
        <v>24</v>
      </c>
      <c r="L298" s="22">
        <v>33</v>
      </c>
      <c r="M298" s="22" t="s">
        <v>115</v>
      </c>
    </row>
    <row r="299" spans="1:13" ht="16.5" customHeight="1" x14ac:dyDescent="0.45">
      <c r="A299" s="20" t="s">
        <v>644</v>
      </c>
      <c r="B299" s="20" t="s">
        <v>645</v>
      </c>
      <c r="C299" s="20" t="s">
        <v>144</v>
      </c>
      <c r="D299" s="20" t="s">
        <v>163</v>
      </c>
      <c r="E299" s="20" t="s">
        <v>135</v>
      </c>
      <c r="F299" s="20" t="s">
        <v>136</v>
      </c>
      <c r="G299" s="20" t="s">
        <v>113</v>
      </c>
      <c r="H299" s="20" t="s">
        <v>114</v>
      </c>
      <c r="I299" s="21">
        <v>96158.04</v>
      </c>
      <c r="J299" s="21">
        <v>6.39</v>
      </c>
      <c r="K299" s="20">
        <v>120</v>
      </c>
      <c r="L299" s="20">
        <v>44</v>
      </c>
      <c r="M299" s="20" t="s">
        <v>115</v>
      </c>
    </row>
    <row r="300" spans="1:13" ht="16.5" customHeight="1" x14ac:dyDescent="0.45">
      <c r="A300" s="22" t="s">
        <v>646</v>
      </c>
      <c r="B300" s="22" t="s">
        <v>304</v>
      </c>
      <c r="C300" s="22" t="s">
        <v>144</v>
      </c>
      <c r="D300" s="22" t="s">
        <v>118</v>
      </c>
      <c r="E300" s="22" t="s">
        <v>111</v>
      </c>
      <c r="F300" s="22" t="s">
        <v>136</v>
      </c>
      <c r="G300" s="22" t="s">
        <v>113</v>
      </c>
      <c r="H300" s="22" t="s">
        <v>121</v>
      </c>
      <c r="I300" s="23">
        <v>46873.48</v>
      </c>
      <c r="J300" s="23">
        <v>5.07</v>
      </c>
      <c r="K300" s="22">
        <v>24</v>
      </c>
      <c r="L300" s="22">
        <v>63</v>
      </c>
      <c r="M300" s="22" t="s">
        <v>115</v>
      </c>
    </row>
    <row r="301" spans="1:13" ht="16.5" customHeight="1" x14ac:dyDescent="0.45">
      <c r="A301" s="20" t="s">
        <v>647</v>
      </c>
      <c r="B301" s="20" t="s">
        <v>235</v>
      </c>
      <c r="C301" s="20" t="s">
        <v>176</v>
      </c>
      <c r="D301" s="20" t="s">
        <v>134</v>
      </c>
      <c r="E301" s="20" t="s">
        <v>135</v>
      </c>
      <c r="F301" s="20" t="s">
        <v>119</v>
      </c>
      <c r="G301" s="20" t="s">
        <v>113</v>
      </c>
      <c r="H301" s="20" t="s">
        <v>121</v>
      </c>
      <c r="I301" s="21">
        <v>109297.99</v>
      </c>
      <c r="J301" s="21">
        <v>5.68</v>
      </c>
      <c r="K301" s="20">
        <v>12</v>
      </c>
      <c r="L301" s="20">
        <v>36</v>
      </c>
      <c r="M301" s="20" t="s">
        <v>131</v>
      </c>
    </row>
    <row r="302" spans="1:13" ht="16.5" customHeight="1" x14ac:dyDescent="0.45">
      <c r="A302" s="22" t="s">
        <v>648</v>
      </c>
      <c r="B302" s="22" t="s">
        <v>649</v>
      </c>
      <c r="C302" s="22" t="s">
        <v>176</v>
      </c>
      <c r="D302" s="22" t="s">
        <v>118</v>
      </c>
      <c r="E302" s="22" t="s">
        <v>111</v>
      </c>
      <c r="F302" s="22" t="s">
        <v>141</v>
      </c>
      <c r="G302" s="22" t="s">
        <v>113</v>
      </c>
      <c r="H302" s="22" t="s">
        <v>121</v>
      </c>
      <c r="I302" s="23">
        <v>115072.94</v>
      </c>
      <c r="J302" s="23">
        <v>12.05</v>
      </c>
      <c r="K302" s="22">
        <v>360</v>
      </c>
      <c r="L302" s="22">
        <v>67</v>
      </c>
      <c r="M302" s="22" t="s">
        <v>131</v>
      </c>
    </row>
    <row r="303" spans="1:13" ht="16.5" customHeight="1" x14ac:dyDescent="0.45">
      <c r="A303" s="20" t="s">
        <v>650</v>
      </c>
      <c r="B303" s="20" t="s">
        <v>339</v>
      </c>
      <c r="C303" s="20" t="s">
        <v>147</v>
      </c>
      <c r="D303" s="20" t="s">
        <v>163</v>
      </c>
      <c r="E303" s="20" t="s">
        <v>135</v>
      </c>
      <c r="F303" s="20" t="s">
        <v>119</v>
      </c>
      <c r="G303" s="20" t="s">
        <v>113</v>
      </c>
      <c r="H303" s="20" t="s">
        <v>121</v>
      </c>
      <c r="I303" s="21">
        <v>119730.81</v>
      </c>
      <c r="J303" s="21">
        <v>5.31</v>
      </c>
      <c r="K303" s="20">
        <v>120</v>
      </c>
      <c r="L303" s="20">
        <v>27</v>
      </c>
      <c r="M303" s="20" t="s">
        <v>131</v>
      </c>
    </row>
    <row r="304" spans="1:13" ht="16.5" customHeight="1" x14ac:dyDescent="0.45">
      <c r="A304" s="22" t="s">
        <v>651</v>
      </c>
      <c r="B304" s="22" t="s">
        <v>652</v>
      </c>
      <c r="C304" s="22" t="s">
        <v>144</v>
      </c>
      <c r="D304" s="22" t="s">
        <v>139</v>
      </c>
      <c r="E304" s="22" t="s">
        <v>140</v>
      </c>
      <c r="F304" s="22" t="s">
        <v>125</v>
      </c>
      <c r="G304" s="22" t="s">
        <v>120</v>
      </c>
      <c r="H304" s="22" t="s">
        <v>121</v>
      </c>
      <c r="I304" s="23">
        <v>78599.990000000005</v>
      </c>
      <c r="J304" s="23">
        <v>6.5</v>
      </c>
      <c r="K304" s="22">
        <v>24</v>
      </c>
      <c r="L304" s="22">
        <v>42</v>
      </c>
      <c r="M304" s="22" t="s">
        <v>115</v>
      </c>
    </row>
    <row r="305" spans="1:13" ht="16.5" customHeight="1" x14ac:dyDescent="0.45">
      <c r="A305" s="20" t="s">
        <v>653</v>
      </c>
      <c r="B305" s="20" t="s">
        <v>654</v>
      </c>
      <c r="C305" s="20" t="s">
        <v>144</v>
      </c>
      <c r="D305" s="20" t="s">
        <v>163</v>
      </c>
      <c r="E305" s="20" t="s">
        <v>135</v>
      </c>
      <c r="F305" s="20" t="s">
        <v>119</v>
      </c>
      <c r="G305" s="20" t="s">
        <v>130</v>
      </c>
      <c r="H305" s="20" t="s">
        <v>126</v>
      </c>
      <c r="I305" s="21">
        <v>228274.42</v>
      </c>
      <c r="J305" s="21">
        <v>2.74</v>
      </c>
      <c r="K305" s="20">
        <v>12</v>
      </c>
      <c r="L305" s="20">
        <v>70</v>
      </c>
      <c r="M305" s="20" t="s">
        <v>131</v>
      </c>
    </row>
    <row r="306" spans="1:13" ht="16.5" customHeight="1" x14ac:dyDescent="0.45">
      <c r="A306" s="22" t="s">
        <v>655</v>
      </c>
      <c r="B306" s="22" t="s">
        <v>656</v>
      </c>
      <c r="C306" s="22" t="s">
        <v>176</v>
      </c>
      <c r="D306" s="22" t="s">
        <v>139</v>
      </c>
      <c r="E306" s="22" t="s">
        <v>140</v>
      </c>
      <c r="F306" s="22" t="s">
        <v>141</v>
      </c>
      <c r="G306" s="22" t="s">
        <v>113</v>
      </c>
      <c r="H306" s="22" t="s">
        <v>126</v>
      </c>
      <c r="I306" s="23">
        <v>198766.02</v>
      </c>
      <c r="J306" s="23">
        <v>6.09</v>
      </c>
      <c r="K306" s="22">
        <v>240</v>
      </c>
      <c r="L306" s="22">
        <v>28</v>
      </c>
      <c r="M306" s="22" t="s">
        <v>131</v>
      </c>
    </row>
    <row r="307" spans="1:13" ht="16.5" customHeight="1" x14ac:dyDescent="0.45">
      <c r="A307" s="20" t="s">
        <v>657</v>
      </c>
      <c r="B307" s="20" t="s">
        <v>313</v>
      </c>
      <c r="C307" s="20" t="s">
        <v>109</v>
      </c>
      <c r="D307" s="20" t="s">
        <v>134</v>
      </c>
      <c r="E307" s="20" t="s">
        <v>135</v>
      </c>
      <c r="F307" s="20" t="s">
        <v>141</v>
      </c>
      <c r="G307" s="20" t="s">
        <v>113</v>
      </c>
      <c r="H307" s="20" t="s">
        <v>121</v>
      </c>
      <c r="I307" s="21">
        <v>128594.4</v>
      </c>
      <c r="J307" s="21">
        <v>7.49</v>
      </c>
      <c r="K307" s="20">
        <v>60</v>
      </c>
      <c r="L307" s="20">
        <v>28</v>
      </c>
      <c r="M307" s="20" t="s">
        <v>131</v>
      </c>
    </row>
    <row r="308" spans="1:13" ht="16.5" customHeight="1" x14ac:dyDescent="0.45">
      <c r="A308" s="22" t="s">
        <v>658</v>
      </c>
      <c r="B308" s="22" t="s">
        <v>659</v>
      </c>
      <c r="C308" s="22" t="s">
        <v>124</v>
      </c>
      <c r="D308" s="22" t="s">
        <v>118</v>
      </c>
      <c r="E308" s="22" t="s">
        <v>111</v>
      </c>
      <c r="F308" s="22" t="s">
        <v>141</v>
      </c>
      <c r="G308" s="22" t="s">
        <v>113</v>
      </c>
      <c r="H308" s="22" t="s">
        <v>126</v>
      </c>
      <c r="I308" s="23">
        <v>44618.8</v>
      </c>
      <c r="J308" s="23">
        <v>6.62</v>
      </c>
      <c r="K308" s="22">
        <v>36</v>
      </c>
      <c r="L308" s="22">
        <v>27</v>
      </c>
      <c r="M308" s="22" t="s">
        <v>115</v>
      </c>
    </row>
    <row r="309" spans="1:13" ht="16.5" customHeight="1" x14ac:dyDescent="0.45">
      <c r="A309" s="20" t="s">
        <v>660</v>
      </c>
      <c r="B309" s="20" t="s">
        <v>169</v>
      </c>
      <c r="C309" s="20" t="s">
        <v>109</v>
      </c>
      <c r="D309" s="20" t="s">
        <v>129</v>
      </c>
      <c r="E309" s="20" t="s">
        <v>111</v>
      </c>
      <c r="F309" s="20" t="s">
        <v>112</v>
      </c>
      <c r="G309" s="20" t="s">
        <v>113</v>
      </c>
      <c r="H309" s="20" t="s">
        <v>126</v>
      </c>
      <c r="I309" s="21">
        <v>68995.839999999997</v>
      </c>
      <c r="J309" s="21">
        <v>8.43</v>
      </c>
      <c r="K309" s="20">
        <v>60</v>
      </c>
      <c r="L309" s="20">
        <v>25</v>
      </c>
      <c r="M309" s="20" t="s">
        <v>115</v>
      </c>
    </row>
    <row r="310" spans="1:13" ht="16.5" customHeight="1" x14ac:dyDescent="0.45">
      <c r="A310" s="22" t="s">
        <v>661</v>
      </c>
      <c r="B310" s="22" t="s">
        <v>171</v>
      </c>
      <c r="C310" s="22" t="s">
        <v>124</v>
      </c>
      <c r="D310" s="22" t="s">
        <v>156</v>
      </c>
      <c r="E310" s="22" t="s">
        <v>111</v>
      </c>
      <c r="F310" s="22" t="s">
        <v>125</v>
      </c>
      <c r="G310" s="22" t="s">
        <v>113</v>
      </c>
      <c r="H310" s="22" t="s">
        <v>121</v>
      </c>
      <c r="I310" s="23">
        <v>37569.69</v>
      </c>
      <c r="J310" s="23">
        <v>3.04</v>
      </c>
      <c r="K310" s="22">
        <v>60</v>
      </c>
      <c r="L310" s="22">
        <v>64</v>
      </c>
      <c r="M310" s="22" t="s">
        <v>115</v>
      </c>
    </row>
    <row r="311" spans="1:13" ht="16.5" customHeight="1" x14ac:dyDescent="0.45">
      <c r="A311" s="20" t="s">
        <v>662</v>
      </c>
      <c r="B311" s="20" t="s">
        <v>422</v>
      </c>
      <c r="C311" s="20" t="s">
        <v>124</v>
      </c>
      <c r="D311" s="20" t="s">
        <v>129</v>
      </c>
      <c r="E311" s="20" t="s">
        <v>111</v>
      </c>
      <c r="F311" s="20" t="s">
        <v>141</v>
      </c>
      <c r="G311" s="20" t="s">
        <v>130</v>
      </c>
      <c r="H311" s="20" t="s">
        <v>121</v>
      </c>
      <c r="I311" s="21">
        <v>118199.41</v>
      </c>
      <c r="J311" s="21">
        <v>6.38</v>
      </c>
      <c r="K311" s="20">
        <v>36</v>
      </c>
      <c r="L311" s="20">
        <v>52</v>
      </c>
      <c r="M311" s="20" t="s">
        <v>131</v>
      </c>
    </row>
    <row r="312" spans="1:13" ht="16.5" customHeight="1" x14ac:dyDescent="0.45">
      <c r="A312" s="22" t="s">
        <v>663</v>
      </c>
      <c r="B312" s="22" t="s">
        <v>275</v>
      </c>
      <c r="C312" s="22" t="s">
        <v>109</v>
      </c>
      <c r="D312" s="22" t="s">
        <v>134</v>
      </c>
      <c r="E312" s="22" t="s">
        <v>135</v>
      </c>
      <c r="F312" s="22" t="s">
        <v>136</v>
      </c>
      <c r="G312" s="22" t="s">
        <v>120</v>
      </c>
      <c r="H312" s="22" t="s">
        <v>126</v>
      </c>
      <c r="I312" s="23">
        <v>5634.34</v>
      </c>
      <c r="J312" s="23">
        <v>12.34</v>
      </c>
      <c r="K312" s="22">
        <v>12</v>
      </c>
      <c r="L312" s="22">
        <v>59</v>
      </c>
      <c r="M312" s="22" t="s">
        <v>189</v>
      </c>
    </row>
    <row r="313" spans="1:13" ht="16.5" customHeight="1" x14ac:dyDescent="0.45">
      <c r="A313" s="20" t="s">
        <v>664</v>
      </c>
      <c r="B313" s="20" t="s">
        <v>665</v>
      </c>
      <c r="C313" s="20" t="s">
        <v>124</v>
      </c>
      <c r="D313" s="20" t="s">
        <v>134</v>
      </c>
      <c r="E313" s="20" t="s">
        <v>135</v>
      </c>
      <c r="F313" s="20" t="s">
        <v>112</v>
      </c>
      <c r="G313" s="20" t="s">
        <v>113</v>
      </c>
      <c r="H313" s="20" t="s">
        <v>114</v>
      </c>
      <c r="I313" s="21">
        <v>86595.38</v>
      </c>
      <c r="J313" s="21">
        <v>5.84</v>
      </c>
      <c r="K313" s="20">
        <v>48</v>
      </c>
      <c r="L313" s="20">
        <v>64</v>
      </c>
      <c r="M313" s="20" t="s">
        <v>115</v>
      </c>
    </row>
    <row r="314" spans="1:13" ht="16.5" customHeight="1" x14ac:dyDescent="0.45">
      <c r="A314" s="22" t="s">
        <v>666</v>
      </c>
      <c r="B314" s="22" t="s">
        <v>667</v>
      </c>
      <c r="C314" s="22" t="s">
        <v>124</v>
      </c>
      <c r="D314" s="22" t="s">
        <v>118</v>
      </c>
      <c r="E314" s="22" t="s">
        <v>111</v>
      </c>
      <c r="F314" s="22" t="s">
        <v>136</v>
      </c>
      <c r="G314" s="22" t="s">
        <v>120</v>
      </c>
      <c r="H314" s="22" t="s">
        <v>126</v>
      </c>
      <c r="I314" s="23">
        <v>180819.88</v>
      </c>
      <c r="J314" s="23">
        <v>11.39</v>
      </c>
      <c r="K314" s="22">
        <v>36</v>
      </c>
      <c r="L314" s="22">
        <v>41</v>
      </c>
      <c r="M314" s="22" t="s">
        <v>131</v>
      </c>
    </row>
    <row r="315" spans="1:13" ht="16.5" customHeight="1" x14ac:dyDescent="0.45">
      <c r="A315" s="20" t="s">
        <v>668</v>
      </c>
      <c r="B315" s="20" t="s">
        <v>669</v>
      </c>
      <c r="C315" s="20" t="s">
        <v>124</v>
      </c>
      <c r="D315" s="20" t="s">
        <v>159</v>
      </c>
      <c r="E315" s="20" t="s">
        <v>135</v>
      </c>
      <c r="F315" s="20" t="s">
        <v>125</v>
      </c>
      <c r="G315" s="20" t="s">
        <v>113</v>
      </c>
      <c r="H315" s="20" t="s">
        <v>126</v>
      </c>
      <c r="I315" s="21">
        <v>94873.01</v>
      </c>
      <c r="J315" s="21">
        <v>11.3</v>
      </c>
      <c r="K315" s="20">
        <v>48</v>
      </c>
      <c r="L315" s="20">
        <v>36</v>
      </c>
      <c r="M315" s="20" t="s">
        <v>115</v>
      </c>
    </row>
    <row r="316" spans="1:13" ht="16.5" customHeight="1" x14ac:dyDescent="0.45">
      <c r="A316" s="22" t="s">
        <v>670</v>
      </c>
      <c r="B316" s="22" t="s">
        <v>649</v>
      </c>
      <c r="C316" s="22" t="s">
        <v>109</v>
      </c>
      <c r="D316" s="22" t="s">
        <v>163</v>
      </c>
      <c r="E316" s="22" t="s">
        <v>135</v>
      </c>
      <c r="F316" s="22" t="s">
        <v>112</v>
      </c>
      <c r="G316" s="22" t="s">
        <v>113</v>
      </c>
      <c r="H316" s="22" t="s">
        <v>126</v>
      </c>
      <c r="I316" s="23">
        <v>62551.63</v>
      </c>
      <c r="J316" s="23">
        <v>4.83</v>
      </c>
      <c r="K316" s="22">
        <v>60</v>
      </c>
      <c r="L316" s="22">
        <v>74</v>
      </c>
      <c r="M316" s="22" t="s">
        <v>115</v>
      </c>
    </row>
    <row r="317" spans="1:13" ht="16.5" customHeight="1" x14ac:dyDescent="0.45">
      <c r="A317" s="20" t="s">
        <v>671</v>
      </c>
      <c r="B317" s="20" t="s">
        <v>461</v>
      </c>
      <c r="C317" s="20" t="s">
        <v>124</v>
      </c>
      <c r="D317" s="20" t="s">
        <v>118</v>
      </c>
      <c r="E317" s="20" t="s">
        <v>111</v>
      </c>
      <c r="F317" s="20" t="s">
        <v>119</v>
      </c>
      <c r="G317" s="20" t="s">
        <v>113</v>
      </c>
      <c r="H317" s="20" t="s">
        <v>126</v>
      </c>
      <c r="I317" s="21">
        <v>109189.96</v>
      </c>
      <c r="J317" s="21">
        <v>13.12</v>
      </c>
      <c r="K317" s="20">
        <v>48</v>
      </c>
      <c r="L317" s="20">
        <v>72</v>
      </c>
      <c r="M317" s="20" t="s">
        <v>131</v>
      </c>
    </row>
    <row r="318" spans="1:13" ht="16.5" customHeight="1" x14ac:dyDescent="0.45">
      <c r="A318" s="22" t="s">
        <v>672</v>
      </c>
      <c r="B318" s="22" t="s">
        <v>257</v>
      </c>
      <c r="C318" s="22" t="s">
        <v>176</v>
      </c>
      <c r="D318" s="22" t="s">
        <v>159</v>
      </c>
      <c r="E318" s="22" t="s">
        <v>135</v>
      </c>
      <c r="F318" s="22" t="s">
        <v>119</v>
      </c>
      <c r="G318" s="22" t="s">
        <v>113</v>
      </c>
      <c r="H318" s="22" t="s">
        <v>121</v>
      </c>
      <c r="I318" s="23">
        <v>242808.05</v>
      </c>
      <c r="J318" s="23">
        <v>2.65</v>
      </c>
      <c r="K318" s="22">
        <v>24</v>
      </c>
      <c r="L318" s="22">
        <v>65</v>
      </c>
      <c r="M318" s="22" t="s">
        <v>131</v>
      </c>
    </row>
    <row r="319" spans="1:13" ht="16.5" customHeight="1" x14ac:dyDescent="0.45">
      <c r="A319" s="20" t="s">
        <v>673</v>
      </c>
      <c r="B319" s="20" t="s">
        <v>219</v>
      </c>
      <c r="C319" s="20" t="s">
        <v>147</v>
      </c>
      <c r="D319" s="20" t="s">
        <v>163</v>
      </c>
      <c r="E319" s="20" t="s">
        <v>135</v>
      </c>
      <c r="F319" s="20" t="s">
        <v>125</v>
      </c>
      <c r="G319" s="20" t="s">
        <v>120</v>
      </c>
      <c r="H319" s="20" t="s">
        <v>121</v>
      </c>
      <c r="I319" s="21">
        <v>16841.82</v>
      </c>
      <c r="J319" s="21">
        <v>10.08</v>
      </c>
      <c r="K319" s="20">
        <v>24</v>
      </c>
      <c r="L319" s="20">
        <v>63</v>
      </c>
      <c r="M319" s="20" t="s">
        <v>189</v>
      </c>
    </row>
    <row r="320" spans="1:13" ht="16.5" customHeight="1" x14ac:dyDescent="0.45">
      <c r="A320" s="22" t="s">
        <v>674</v>
      </c>
      <c r="B320" s="22" t="s">
        <v>175</v>
      </c>
      <c r="C320" s="22" t="s">
        <v>176</v>
      </c>
      <c r="D320" s="22" t="s">
        <v>134</v>
      </c>
      <c r="E320" s="22" t="s">
        <v>135</v>
      </c>
      <c r="F320" s="22" t="s">
        <v>119</v>
      </c>
      <c r="G320" s="22" t="s">
        <v>113</v>
      </c>
      <c r="H320" s="22" t="s">
        <v>121</v>
      </c>
      <c r="I320" s="23">
        <v>105387.79</v>
      </c>
      <c r="J320" s="23">
        <v>6.92</v>
      </c>
      <c r="K320" s="22">
        <v>24</v>
      </c>
      <c r="L320" s="22">
        <v>39</v>
      </c>
      <c r="M320" s="22" t="s">
        <v>131</v>
      </c>
    </row>
    <row r="321" spans="1:13" ht="16.5" customHeight="1" x14ac:dyDescent="0.45">
      <c r="A321" s="20" t="s">
        <v>675</v>
      </c>
      <c r="B321" s="20" t="s">
        <v>180</v>
      </c>
      <c r="C321" s="20" t="s">
        <v>109</v>
      </c>
      <c r="D321" s="20" t="s">
        <v>134</v>
      </c>
      <c r="E321" s="20" t="s">
        <v>135</v>
      </c>
      <c r="F321" s="20" t="s">
        <v>125</v>
      </c>
      <c r="G321" s="20" t="s">
        <v>130</v>
      </c>
      <c r="H321" s="20" t="s">
        <v>114</v>
      </c>
      <c r="I321" s="21">
        <v>36461.39</v>
      </c>
      <c r="J321" s="21">
        <v>10.65</v>
      </c>
      <c r="K321" s="20">
        <v>36</v>
      </c>
      <c r="L321" s="20">
        <v>28</v>
      </c>
      <c r="M321" s="20" t="s">
        <v>115</v>
      </c>
    </row>
    <row r="322" spans="1:13" ht="16.5" customHeight="1" x14ac:dyDescent="0.45">
      <c r="A322" s="22" t="s">
        <v>676</v>
      </c>
      <c r="B322" s="22" t="s">
        <v>677</v>
      </c>
      <c r="C322" s="22" t="s">
        <v>124</v>
      </c>
      <c r="D322" s="22" t="s">
        <v>134</v>
      </c>
      <c r="E322" s="22" t="s">
        <v>135</v>
      </c>
      <c r="F322" s="22" t="s">
        <v>125</v>
      </c>
      <c r="G322" s="22" t="s">
        <v>113</v>
      </c>
      <c r="H322" s="22" t="s">
        <v>114</v>
      </c>
      <c r="I322" s="23">
        <v>216979.82</v>
      </c>
      <c r="J322" s="23">
        <v>5.03</v>
      </c>
      <c r="K322" s="22">
        <v>6</v>
      </c>
      <c r="L322" s="22">
        <v>48</v>
      </c>
      <c r="M322" s="22" t="s">
        <v>131</v>
      </c>
    </row>
    <row r="323" spans="1:13" ht="16.5" customHeight="1" x14ac:dyDescent="0.45">
      <c r="A323" s="20" t="s">
        <v>678</v>
      </c>
      <c r="B323" s="20" t="s">
        <v>679</v>
      </c>
      <c r="C323" s="20" t="s">
        <v>176</v>
      </c>
      <c r="D323" s="20" t="s">
        <v>139</v>
      </c>
      <c r="E323" s="20" t="s">
        <v>140</v>
      </c>
      <c r="F323" s="20" t="s">
        <v>141</v>
      </c>
      <c r="G323" s="20" t="s">
        <v>113</v>
      </c>
      <c r="H323" s="20" t="s">
        <v>121</v>
      </c>
      <c r="I323" s="21">
        <v>75475.179999999993</v>
      </c>
      <c r="J323" s="21">
        <v>8.6300000000000008</v>
      </c>
      <c r="K323" s="20">
        <v>180</v>
      </c>
      <c r="L323" s="20">
        <v>51</v>
      </c>
      <c r="M323" s="20" t="s">
        <v>115</v>
      </c>
    </row>
    <row r="324" spans="1:13" ht="16.5" customHeight="1" x14ac:dyDescent="0.45">
      <c r="A324" s="22" t="s">
        <v>680</v>
      </c>
      <c r="B324" s="22" t="s">
        <v>445</v>
      </c>
      <c r="C324" s="22" t="s">
        <v>124</v>
      </c>
      <c r="D324" s="22" t="s">
        <v>139</v>
      </c>
      <c r="E324" s="22" t="s">
        <v>140</v>
      </c>
      <c r="F324" s="22" t="s">
        <v>112</v>
      </c>
      <c r="G324" s="22" t="s">
        <v>391</v>
      </c>
      <c r="H324" s="22" t="s">
        <v>121</v>
      </c>
      <c r="I324" s="23">
        <v>128590.85</v>
      </c>
      <c r="J324" s="23">
        <v>6.3</v>
      </c>
      <c r="K324" s="22">
        <v>36</v>
      </c>
      <c r="L324" s="22">
        <v>73</v>
      </c>
      <c r="M324" s="22" t="s">
        <v>131</v>
      </c>
    </row>
    <row r="325" spans="1:13" ht="16.5" customHeight="1" x14ac:dyDescent="0.45">
      <c r="A325" s="20" t="s">
        <v>681</v>
      </c>
      <c r="B325" s="20" t="s">
        <v>374</v>
      </c>
      <c r="C325" s="20" t="s">
        <v>124</v>
      </c>
      <c r="D325" s="20" t="s">
        <v>129</v>
      </c>
      <c r="E325" s="20" t="s">
        <v>111</v>
      </c>
      <c r="F325" s="20" t="s">
        <v>112</v>
      </c>
      <c r="G325" s="20" t="s">
        <v>113</v>
      </c>
      <c r="H325" s="20" t="s">
        <v>126</v>
      </c>
      <c r="I325" s="21"/>
      <c r="J325" s="21">
        <v>10.79</v>
      </c>
      <c r="K325" s="20">
        <v>24</v>
      </c>
      <c r="L325" s="20">
        <v>47</v>
      </c>
      <c r="M325" s="20" t="s">
        <v>131</v>
      </c>
    </row>
    <row r="326" spans="1:13" ht="16.5" customHeight="1" x14ac:dyDescent="0.45">
      <c r="A326" s="22" t="s">
        <v>682</v>
      </c>
      <c r="B326" s="22" t="s">
        <v>683</v>
      </c>
      <c r="C326" s="22" t="s">
        <v>176</v>
      </c>
      <c r="D326" s="22" t="s">
        <v>110</v>
      </c>
      <c r="E326" s="22" t="s">
        <v>111</v>
      </c>
      <c r="F326" s="22" t="s">
        <v>119</v>
      </c>
      <c r="G326" s="22" t="s">
        <v>113</v>
      </c>
      <c r="H326" s="22" t="s">
        <v>121</v>
      </c>
      <c r="I326" s="23">
        <v>248006.59</v>
      </c>
      <c r="J326" s="23">
        <v>9.6300000000000008</v>
      </c>
      <c r="K326" s="22">
        <v>120</v>
      </c>
      <c r="L326" s="22">
        <v>23</v>
      </c>
      <c r="M326" s="22" t="s">
        <v>131</v>
      </c>
    </row>
    <row r="327" spans="1:13" ht="16.5" customHeight="1" x14ac:dyDescent="0.45">
      <c r="A327" s="20" t="s">
        <v>684</v>
      </c>
      <c r="B327" s="20" t="s">
        <v>685</v>
      </c>
      <c r="C327" s="20" t="s">
        <v>144</v>
      </c>
      <c r="D327" s="20" t="s">
        <v>159</v>
      </c>
      <c r="E327" s="20" t="s">
        <v>135</v>
      </c>
      <c r="F327" s="20" t="s">
        <v>136</v>
      </c>
      <c r="G327" s="20" t="s">
        <v>113</v>
      </c>
      <c r="H327" s="20" t="s">
        <v>114</v>
      </c>
      <c r="I327" s="21">
        <v>58013.79</v>
      </c>
      <c r="J327" s="21">
        <v>5.01</v>
      </c>
      <c r="K327" s="20">
        <v>24</v>
      </c>
      <c r="L327" s="20">
        <v>70</v>
      </c>
      <c r="M327" s="20" t="s">
        <v>115</v>
      </c>
    </row>
    <row r="328" spans="1:13" ht="16.5" customHeight="1" x14ac:dyDescent="0.45">
      <c r="A328" s="22" t="s">
        <v>686</v>
      </c>
      <c r="B328" s="22" t="s">
        <v>235</v>
      </c>
      <c r="C328" s="22" t="s">
        <v>147</v>
      </c>
      <c r="D328" s="22" t="s">
        <v>159</v>
      </c>
      <c r="E328" s="22" t="s">
        <v>135</v>
      </c>
      <c r="F328" s="22" t="s">
        <v>141</v>
      </c>
      <c r="G328" s="22" t="s">
        <v>113</v>
      </c>
      <c r="H328" s="22" t="s">
        <v>121</v>
      </c>
      <c r="I328" s="23">
        <v>91898.81</v>
      </c>
      <c r="J328" s="23">
        <v>5.53</v>
      </c>
      <c r="K328" s="22">
        <v>360</v>
      </c>
      <c r="L328" s="22">
        <v>41</v>
      </c>
      <c r="M328" s="22" t="s">
        <v>115</v>
      </c>
    </row>
    <row r="329" spans="1:13" ht="16.5" customHeight="1" x14ac:dyDescent="0.45">
      <c r="A329" s="20" t="s">
        <v>687</v>
      </c>
      <c r="B329" s="20" t="s">
        <v>688</v>
      </c>
      <c r="C329" s="20" t="s">
        <v>144</v>
      </c>
      <c r="D329" s="20" t="s">
        <v>129</v>
      </c>
      <c r="E329" s="20" t="s">
        <v>111</v>
      </c>
      <c r="F329" s="20" t="s">
        <v>125</v>
      </c>
      <c r="G329" s="20" t="s">
        <v>120</v>
      </c>
      <c r="H329" s="20" t="s">
        <v>114</v>
      </c>
      <c r="I329" s="21">
        <v>160548.17000000001</v>
      </c>
      <c r="J329" s="21">
        <v>13.09</v>
      </c>
      <c r="K329" s="20">
        <v>48</v>
      </c>
      <c r="L329" s="20">
        <v>32</v>
      </c>
      <c r="M329" s="20" t="s">
        <v>131</v>
      </c>
    </row>
    <row r="330" spans="1:13" ht="16.5" customHeight="1" x14ac:dyDescent="0.45">
      <c r="A330" s="22" t="s">
        <v>689</v>
      </c>
      <c r="B330" s="22" t="s">
        <v>237</v>
      </c>
      <c r="C330" s="22" t="s">
        <v>147</v>
      </c>
      <c r="D330" s="22" t="s">
        <v>156</v>
      </c>
      <c r="E330" s="22" t="s">
        <v>111</v>
      </c>
      <c r="F330" s="22" t="s">
        <v>119</v>
      </c>
      <c r="G330" s="22" t="s">
        <v>113</v>
      </c>
      <c r="H330" s="22" t="s">
        <v>121</v>
      </c>
      <c r="I330" s="23">
        <v>40024.54</v>
      </c>
      <c r="J330" s="23">
        <v>7.25</v>
      </c>
      <c r="K330" s="22">
        <v>48</v>
      </c>
      <c r="L330" s="22">
        <v>43</v>
      </c>
      <c r="M330" s="22" t="s">
        <v>115</v>
      </c>
    </row>
    <row r="331" spans="1:13" ht="16.5" customHeight="1" x14ac:dyDescent="0.45">
      <c r="A331" s="20" t="s">
        <v>690</v>
      </c>
      <c r="B331" s="20" t="s">
        <v>151</v>
      </c>
      <c r="C331" s="20" t="s">
        <v>109</v>
      </c>
      <c r="D331" s="20" t="s">
        <v>129</v>
      </c>
      <c r="E331" s="20" t="s">
        <v>111</v>
      </c>
      <c r="F331" s="20" t="s">
        <v>119</v>
      </c>
      <c r="G331" s="20" t="s">
        <v>113</v>
      </c>
      <c r="H331" s="20" t="s">
        <v>121</v>
      </c>
      <c r="I331" s="21">
        <v>196584.97</v>
      </c>
      <c r="J331" s="21">
        <v>12.54</v>
      </c>
      <c r="K331" s="20">
        <v>360</v>
      </c>
      <c r="L331" s="20">
        <v>73</v>
      </c>
      <c r="M331" s="20" t="s">
        <v>131</v>
      </c>
    </row>
    <row r="332" spans="1:13" ht="16.5" customHeight="1" x14ac:dyDescent="0.45">
      <c r="A332" s="22" t="s">
        <v>691</v>
      </c>
      <c r="B332" s="22" t="s">
        <v>448</v>
      </c>
      <c r="C332" s="22" t="s">
        <v>144</v>
      </c>
      <c r="D332" s="22" t="s">
        <v>110</v>
      </c>
      <c r="E332" s="22" t="s">
        <v>111</v>
      </c>
      <c r="F332" s="22" t="s">
        <v>112</v>
      </c>
      <c r="G332" s="22" t="s">
        <v>113</v>
      </c>
      <c r="H332" s="22" t="s">
        <v>121</v>
      </c>
      <c r="I332" s="23">
        <v>135766.73000000001</v>
      </c>
      <c r="J332" s="23">
        <v>5.56</v>
      </c>
      <c r="K332" s="22">
        <v>120</v>
      </c>
      <c r="L332" s="22">
        <v>36</v>
      </c>
      <c r="M332" s="22" t="s">
        <v>131</v>
      </c>
    </row>
    <row r="333" spans="1:13" ht="16.5" customHeight="1" x14ac:dyDescent="0.45">
      <c r="A333" s="20" t="s">
        <v>692</v>
      </c>
      <c r="B333" s="20" t="s">
        <v>430</v>
      </c>
      <c r="C333" s="20" t="s">
        <v>124</v>
      </c>
      <c r="D333" s="20" t="s">
        <v>118</v>
      </c>
      <c r="E333" s="20" t="s">
        <v>111</v>
      </c>
      <c r="F333" s="20" t="s">
        <v>119</v>
      </c>
      <c r="G333" s="20" t="s">
        <v>113</v>
      </c>
      <c r="H333" s="20" t="s">
        <v>114</v>
      </c>
      <c r="I333" s="21">
        <v>229810.46</v>
      </c>
      <c r="J333" s="21">
        <v>9.51</v>
      </c>
      <c r="K333" s="20">
        <v>36</v>
      </c>
      <c r="L333" s="20">
        <v>48</v>
      </c>
      <c r="M333" s="20" t="s">
        <v>131</v>
      </c>
    </row>
    <row r="334" spans="1:13" ht="16.5" customHeight="1" x14ac:dyDescent="0.45">
      <c r="A334" s="22" t="s">
        <v>693</v>
      </c>
      <c r="B334" s="22" t="s">
        <v>400</v>
      </c>
      <c r="C334" s="22" t="s">
        <v>124</v>
      </c>
      <c r="D334" s="22" t="s">
        <v>134</v>
      </c>
      <c r="E334" s="22" t="s">
        <v>135</v>
      </c>
      <c r="F334" s="22" t="s">
        <v>125</v>
      </c>
      <c r="G334" s="22" t="s">
        <v>113</v>
      </c>
      <c r="H334" s="22" t="s">
        <v>126</v>
      </c>
      <c r="I334" s="23">
        <v>71426.179999999993</v>
      </c>
      <c r="J334" s="23">
        <v>7.59</v>
      </c>
      <c r="K334" s="22">
        <v>24</v>
      </c>
      <c r="L334" s="22">
        <v>23</v>
      </c>
      <c r="M334" s="22" t="s">
        <v>115</v>
      </c>
    </row>
    <row r="335" spans="1:13" ht="16.5" customHeight="1" x14ac:dyDescent="0.45">
      <c r="A335" s="20" t="s">
        <v>694</v>
      </c>
      <c r="B335" s="20" t="s">
        <v>158</v>
      </c>
      <c r="C335" s="20" t="s">
        <v>109</v>
      </c>
      <c r="D335" s="20" t="s">
        <v>134</v>
      </c>
      <c r="E335" s="20" t="s">
        <v>135</v>
      </c>
      <c r="F335" s="20" t="s">
        <v>141</v>
      </c>
      <c r="G335" s="20" t="s">
        <v>130</v>
      </c>
      <c r="H335" s="20" t="s">
        <v>114</v>
      </c>
      <c r="I335" s="21">
        <v>205954.94</v>
      </c>
      <c r="J335" s="21">
        <v>10.4</v>
      </c>
      <c r="K335" s="20">
        <v>120</v>
      </c>
      <c r="L335" s="20">
        <v>61</v>
      </c>
      <c r="M335" s="20" t="s">
        <v>131</v>
      </c>
    </row>
    <row r="336" spans="1:13" ht="16.5" customHeight="1" x14ac:dyDescent="0.45">
      <c r="A336" s="22" t="s">
        <v>695</v>
      </c>
      <c r="B336" s="22" t="s">
        <v>696</v>
      </c>
      <c r="C336" s="22" t="s">
        <v>109</v>
      </c>
      <c r="D336" s="22" t="s">
        <v>134</v>
      </c>
      <c r="E336" s="22" t="s">
        <v>135</v>
      </c>
      <c r="F336" s="22" t="s">
        <v>119</v>
      </c>
      <c r="G336" s="22" t="s">
        <v>113</v>
      </c>
      <c r="H336" s="22" t="s">
        <v>114</v>
      </c>
      <c r="I336" s="23">
        <v>216465.52</v>
      </c>
      <c r="J336" s="23">
        <v>10.14</v>
      </c>
      <c r="K336" s="22">
        <v>60</v>
      </c>
      <c r="L336" s="22">
        <v>42</v>
      </c>
      <c r="M336" s="22" t="s">
        <v>131</v>
      </c>
    </row>
    <row r="337" spans="1:13" ht="16.5" customHeight="1" x14ac:dyDescent="0.45">
      <c r="A337" s="20" t="s">
        <v>697</v>
      </c>
      <c r="B337" s="20" t="s">
        <v>698</v>
      </c>
      <c r="C337" s="20" t="s">
        <v>124</v>
      </c>
      <c r="D337" s="20" t="s">
        <v>159</v>
      </c>
      <c r="E337" s="20" t="s">
        <v>135</v>
      </c>
      <c r="F337" s="20" t="s">
        <v>125</v>
      </c>
      <c r="G337" s="20" t="s">
        <v>120</v>
      </c>
      <c r="H337" s="20" t="s">
        <v>126</v>
      </c>
      <c r="I337" s="21">
        <v>157917.64000000001</v>
      </c>
      <c r="J337" s="21">
        <v>12.79</v>
      </c>
      <c r="K337" s="20">
        <v>60</v>
      </c>
      <c r="L337" s="20">
        <v>43</v>
      </c>
      <c r="M337" s="20" t="s">
        <v>131</v>
      </c>
    </row>
    <row r="338" spans="1:13" ht="16.5" customHeight="1" x14ac:dyDescent="0.45">
      <c r="A338" s="22" t="s">
        <v>699</v>
      </c>
      <c r="B338" s="22" t="s">
        <v>700</v>
      </c>
      <c r="C338" s="22" t="s">
        <v>109</v>
      </c>
      <c r="D338" s="22" t="s">
        <v>118</v>
      </c>
      <c r="E338" s="22" t="s">
        <v>111</v>
      </c>
      <c r="F338" s="22" t="s">
        <v>136</v>
      </c>
      <c r="G338" s="22" t="s">
        <v>113</v>
      </c>
      <c r="H338" s="22" t="s">
        <v>126</v>
      </c>
      <c r="I338" s="23">
        <v>40987.49</v>
      </c>
      <c r="J338" s="23">
        <v>13.88</v>
      </c>
      <c r="K338" s="22">
        <v>36</v>
      </c>
      <c r="L338" s="22">
        <v>40</v>
      </c>
      <c r="M338" s="22" t="s">
        <v>115</v>
      </c>
    </row>
    <row r="339" spans="1:13" ht="16.5" customHeight="1" x14ac:dyDescent="0.45">
      <c r="A339" s="20" t="s">
        <v>701</v>
      </c>
      <c r="B339" s="20" t="s">
        <v>271</v>
      </c>
      <c r="C339" s="20" t="s">
        <v>176</v>
      </c>
      <c r="D339" s="20" t="s">
        <v>156</v>
      </c>
      <c r="E339" s="20" t="s">
        <v>111</v>
      </c>
      <c r="F339" s="20" t="s">
        <v>125</v>
      </c>
      <c r="G339" s="20" t="s">
        <v>113</v>
      </c>
      <c r="H339" s="20" t="s">
        <v>114</v>
      </c>
      <c r="I339" s="21">
        <v>191056.57</v>
      </c>
      <c r="J339" s="21">
        <v>9.44</v>
      </c>
      <c r="K339" s="20">
        <v>360</v>
      </c>
      <c r="L339" s="20">
        <v>61</v>
      </c>
      <c r="M339" s="20" t="s">
        <v>131</v>
      </c>
    </row>
    <row r="340" spans="1:13" ht="16.5" customHeight="1" x14ac:dyDescent="0.45">
      <c r="A340" s="22" t="s">
        <v>702</v>
      </c>
      <c r="B340" s="22" t="s">
        <v>155</v>
      </c>
      <c r="C340" s="22" t="s">
        <v>124</v>
      </c>
      <c r="D340" s="22" t="s">
        <v>163</v>
      </c>
      <c r="E340" s="22" t="s">
        <v>135</v>
      </c>
      <c r="F340" s="22" t="s">
        <v>112</v>
      </c>
      <c r="G340" s="22" t="s">
        <v>391</v>
      </c>
      <c r="H340" s="22" t="s">
        <v>121</v>
      </c>
      <c r="I340" s="23">
        <v>167281.69</v>
      </c>
      <c r="J340" s="23">
        <v>9.35</v>
      </c>
      <c r="K340" s="22">
        <v>24</v>
      </c>
      <c r="L340" s="22">
        <v>45</v>
      </c>
      <c r="M340" s="22" t="s">
        <v>131</v>
      </c>
    </row>
    <row r="341" spans="1:13" ht="16.5" customHeight="1" x14ac:dyDescent="0.45">
      <c r="A341" s="20" t="s">
        <v>703</v>
      </c>
      <c r="B341" s="20" t="s">
        <v>559</v>
      </c>
      <c r="C341" s="20" t="s">
        <v>124</v>
      </c>
      <c r="D341" s="20" t="s">
        <v>110</v>
      </c>
      <c r="E341" s="20" t="s">
        <v>111</v>
      </c>
      <c r="F341" s="20" t="s">
        <v>125</v>
      </c>
      <c r="G341" s="20" t="s">
        <v>113</v>
      </c>
      <c r="H341" s="20" t="s">
        <v>126</v>
      </c>
      <c r="I341" s="21">
        <v>44606.39</v>
      </c>
      <c r="J341" s="21">
        <v>4.05</v>
      </c>
      <c r="K341" s="20">
        <v>12</v>
      </c>
      <c r="L341" s="20">
        <v>50</v>
      </c>
      <c r="M341" s="20" t="s">
        <v>115</v>
      </c>
    </row>
    <row r="342" spans="1:13" ht="16.5" customHeight="1" x14ac:dyDescent="0.45">
      <c r="A342" s="22" t="s">
        <v>704</v>
      </c>
      <c r="B342" s="22" t="s">
        <v>153</v>
      </c>
      <c r="C342" s="22" t="s">
        <v>124</v>
      </c>
      <c r="D342" s="22" t="s">
        <v>156</v>
      </c>
      <c r="E342" s="22" t="s">
        <v>111</v>
      </c>
      <c r="F342" s="22" t="s">
        <v>125</v>
      </c>
      <c r="G342" s="22" t="s">
        <v>113</v>
      </c>
      <c r="H342" s="22" t="s">
        <v>114</v>
      </c>
      <c r="I342" s="23">
        <v>52343.12</v>
      </c>
      <c r="J342" s="23">
        <v>6.24</v>
      </c>
      <c r="K342" s="22">
        <v>36</v>
      </c>
      <c r="L342" s="22">
        <v>64</v>
      </c>
      <c r="M342" s="22" t="s">
        <v>115</v>
      </c>
    </row>
    <row r="343" spans="1:13" ht="16.5" customHeight="1" x14ac:dyDescent="0.45">
      <c r="A343" s="20" t="s">
        <v>705</v>
      </c>
      <c r="B343" s="20" t="s">
        <v>706</v>
      </c>
      <c r="C343" s="20" t="s">
        <v>147</v>
      </c>
      <c r="D343" s="20" t="s">
        <v>159</v>
      </c>
      <c r="E343" s="20" t="s">
        <v>135</v>
      </c>
      <c r="F343" s="20" t="s">
        <v>119</v>
      </c>
      <c r="G343" s="20" t="s">
        <v>113</v>
      </c>
      <c r="H343" s="20" t="s">
        <v>114</v>
      </c>
      <c r="I343" s="21">
        <v>232036.25</v>
      </c>
      <c r="J343" s="21">
        <v>7.55</v>
      </c>
      <c r="K343" s="20">
        <v>24</v>
      </c>
      <c r="L343" s="20">
        <v>51</v>
      </c>
      <c r="M343" s="20" t="s">
        <v>131</v>
      </c>
    </row>
    <row r="344" spans="1:13" ht="16.5" customHeight="1" x14ac:dyDescent="0.45">
      <c r="A344" s="22" t="s">
        <v>707</v>
      </c>
      <c r="B344" s="22" t="s">
        <v>572</v>
      </c>
      <c r="C344" s="22" t="s">
        <v>124</v>
      </c>
      <c r="D344" s="22" t="s">
        <v>139</v>
      </c>
      <c r="E344" s="22" t="s">
        <v>140</v>
      </c>
      <c r="F344" s="22" t="s">
        <v>125</v>
      </c>
      <c r="G344" s="22" t="s">
        <v>130</v>
      </c>
      <c r="H344" s="22" t="s">
        <v>121</v>
      </c>
      <c r="I344" s="23">
        <v>59037.11</v>
      </c>
      <c r="J344" s="23">
        <v>13.87</v>
      </c>
      <c r="K344" s="22">
        <v>36</v>
      </c>
      <c r="L344" s="22">
        <v>30</v>
      </c>
      <c r="M344" s="22" t="s">
        <v>115</v>
      </c>
    </row>
    <row r="345" spans="1:13" ht="16.5" customHeight="1" x14ac:dyDescent="0.45">
      <c r="A345" s="20" t="s">
        <v>708</v>
      </c>
      <c r="B345" s="20" t="s">
        <v>709</v>
      </c>
      <c r="C345" s="20" t="s">
        <v>109</v>
      </c>
      <c r="D345" s="20" t="s">
        <v>134</v>
      </c>
      <c r="E345" s="20" t="s">
        <v>135</v>
      </c>
      <c r="F345" s="20" t="s">
        <v>112</v>
      </c>
      <c r="G345" s="20" t="s">
        <v>113</v>
      </c>
      <c r="H345" s="20" t="s">
        <v>121</v>
      </c>
      <c r="I345" s="21">
        <v>77795.53</v>
      </c>
      <c r="J345" s="21">
        <v>5.35</v>
      </c>
      <c r="K345" s="20">
        <v>48</v>
      </c>
      <c r="L345" s="20">
        <v>23</v>
      </c>
      <c r="M345" s="20" t="s">
        <v>115</v>
      </c>
    </row>
    <row r="346" spans="1:13" ht="16.5" customHeight="1" x14ac:dyDescent="0.45">
      <c r="A346" s="22" t="s">
        <v>710</v>
      </c>
      <c r="B346" s="22" t="s">
        <v>292</v>
      </c>
      <c r="C346" s="22" t="s">
        <v>147</v>
      </c>
      <c r="D346" s="22" t="s">
        <v>129</v>
      </c>
      <c r="E346" s="22" t="s">
        <v>111</v>
      </c>
      <c r="F346" s="22" t="s">
        <v>119</v>
      </c>
      <c r="G346" s="22" t="s">
        <v>113</v>
      </c>
      <c r="H346" s="22" t="s">
        <v>126</v>
      </c>
      <c r="I346" s="23">
        <v>57271.93</v>
      </c>
      <c r="J346" s="23">
        <v>2.9</v>
      </c>
      <c r="K346" s="22">
        <v>240</v>
      </c>
      <c r="L346" s="22">
        <v>65</v>
      </c>
      <c r="M346" s="22" t="s">
        <v>115</v>
      </c>
    </row>
    <row r="347" spans="1:13" ht="16.5" customHeight="1" x14ac:dyDescent="0.45">
      <c r="A347" s="20" t="s">
        <v>711</v>
      </c>
      <c r="B347" s="20" t="s">
        <v>712</v>
      </c>
      <c r="C347" s="20" t="s">
        <v>109</v>
      </c>
      <c r="D347" s="20" t="s">
        <v>110</v>
      </c>
      <c r="E347" s="20" t="s">
        <v>111</v>
      </c>
      <c r="F347" s="20" t="s">
        <v>119</v>
      </c>
      <c r="G347" s="20" t="s">
        <v>120</v>
      </c>
      <c r="H347" s="20" t="s">
        <v>121</v>
      </c>
      <c r="I347" s="21">
        <v>2381.6799999999998</v>
      </c>
      <c r="J347" s="21">
        <v>7.77</v>
      </c>
      <c r="K347" s="20">
        <v>60</v>
      </c>
      <c r="L347" s="20">
        <v>63</v>
      </c>
      <c r="M347" s="20" t="s">
        <v>189</v>
      </c>
    </row>
    <row r="348" spans="1:13" ht="16.5" customHeight="1" x14ac:dyDescent="0.45">
      <c r="A348" s="22" t="s">
        <v>713</v>
      </c>
      <c r="B348" s="22" t="s">
        <v>652</v>
      </c>
      <c r="C348" s="22" t="s">
        <v>176</v>
      </c>
      <c r="D348" s="22" t="s">
        <v>110</v>
      </c>
      <c r="E348" s="22" t="s">
        <v>111</v>
      </c>
      <c r="F348" s="22" t="s">
        <v>112</v>
      </c>
      <c r="G348" s="22" t="s">
        <v>130</v>
      </c>
      <c r="H348" s="22" t="s">
        <v>114</v>
      </c>
      <c r="I348" s="23">
        <v>190200.98</v>
      </c>
      <c r="J348" s="23">
        <v>2.8</v>
      </c>
      <c r="K348" s="22">
        <v>48</v>
      </c>
      <c r="L348" s="22">
        <v>47</v>
      </c>
      <c r="M348" s="22" t="s">
        <v>131</v>
      </c>
    </row>
    <row r="349" spans="1:13" ht="16.5" customHeight="1" x14ac:dyDescent="0.45">
      <c r="A349" s="20" t="s">
        <v>714</v>
      </c>
      <c r="B349" s="20" t="s">
        <v>267</v>
      </c>
      <c r="C349" s="20" t="s">
        <v>176</v>
      </c>
      <c r="D349" s="20" t="s">
        <v>139</v>
      </c>
      <c r="E349" s="20" t="s">
        <v>140</v>
      </c>
      <c r="F349" s="20" t="s">
        <v>119</v>
      </c>
      <c r="G349" s="20" t="s">
        <v>130</v>
      </c>
      <c r="H349" s="20" t="s">
        <v>114</v>
      </c>
      <c r="I349" s="21">
        <v>33390.54</v>
      </c>
      <c r="J349" s="21">
        <v>7.51</v>
      </c>
      <c r="K349" s="20">
        <v>24</v>
      </c>
      <c r="L349" s="20">
        <v>40</v>
      </c>
      <c r="M349" s="20" t="s">
        <v>115</v>
      </c>
    </row>
    <row r="350" spans="1:13" ht="16.5" customHeight="1" x14ac:dyDescent="0.45">
      <c r="A350" s="22" t="s">
        <v>715</v>
      </c>
      <c r="B350" s="22" t="s">
        <v>716</v>
      </c>
      <c r="C350" s="22" t="s">
        <v>162</v>
      </c>
      <c r="D350" s="22" t="s">
        <v>159</v>
      </c>
      <c r="E350" s="22" t="s">
        <v>135</v>
      </c>
      <c r="F350" s="22" t="s">
        <v>141</v>
      </c>
      <c r="G350" s="22" t="s">
        <v>391</v>
      </c>
      <c r="H350" s="22" t="s">
        <v>114</v>
      </c>
      <c r="I350" s="23">
        <v>107589.02</v>
      </c>
      <c r="J350" s="23">
        <v>7.79</v>
      </c>
      <c r="K350" s="22">
        <v>240</v>
      </c>
      <c r="L350" s="22">
        <v>23</v>
      </c>
      <c r="M350" s="22" t="s">
        <v>131</v>
      </c>
    </row>
    <row r="351" spans="1:13" ht="16.5" customHeight="1" x14ac:dyDescent="0.45">
      <c r="A351" s="20" t="s">
        <v>717</v>
      </c>
      <c r="B351" s="20" t="s">
        <v>718</v>
      </c>
      <c r="C351" s="20" t="s">
        <v>162</v>
      </c>
      <c r="D351" s="20" t="s">
        <v>118</v>
      </c>
      <c r="E351" s="20" t="s">
        <v>111</v>
      </c>
      <c r="F351" s="20" t="s">
        <v>112</v>
      </c>
      <c r="G351" s="20" t="s">
        <v>113</v>
      </c>
      <c r="H351" s="20" t="s">
        <v>121</v>
      </c>
      <c r="I351" s="21">
        <v>8967.93</v>
      </c>
      <c r="J351" s="21">
        <v>11.22</v>
      </c>
      <c r="K351" s="20">
        <v>60</v>
      </c>
      <c r="L351" s="20">
        <v>27</v>
      </c>
      <c r="M351" s="20" t="s">
        <v>189</v>
      </c>
    </row>
    <row r="352" spans="1:13" ht="16.5" customHeight="1" x14ac:dyDescent="0.45">
      <c r="A352" s="22" t="s">
        <v>719</v>
      </c>
      <c r="B352" s="22" t="s">
        <v>428</v>
      </c>
      <c r="C352" s="22" t="s">
        <v>144</v>
      </c>
      <c r="D352" s="22" t="s">
        <v>163</v>
      </c>
      <c r="E352" s="22" t="s">
        <v>135</v>
      </c>
      <c r="F352" s="22" t="s">
        <v>119</v>
      </c>
      <c r="G352" s="22" t="s">
        <v>113</v>
      </c>
      <c r="H352" s="22" t="s">
        <v>126</v>
      </c>
      <c r="I352" s="23">
        <v>191800.83</v>
      </c>
      <c r="J352" s="23"/>
      <c r="K352" s="22">
        <v>36</v>
      </c>
      <c r="L352" s="22">
        <v>50</v>
      </c>
      <c r="M352" s="22" t="s">
        <v>131</v>
      </c>
    </row>
    <row r="353" spans="1:13" ht="16.5" customHeight="1" x14ac:dyDescent="0.45">
      <c r="A353" s="20" t="s">
        <v>720</v>
      </c>
      <c r="B353" s="20" t="s">
        <v>470</v>
      </c>
      <c r="C353" s="20" t="s">
        <v>535</v>
      </c>
      <c r="D353" s="20" t="s">
        <v>110</v>
      </c>
      <c r="E353" s="20" t="s">
        <v>111</v>
      </c>
      <c r="F353" s="20" t="s">
        <v>119</v>
      </c>
      <c r="G353" s="20" t="s">
        <v>113</v>
      </c>
      <c r="H353" s="20" t="s">
        <v>114</v>
      </c>
      <c r="I353" s="21">
        <v>10369.799999999999</v>
      </c>
      <c r="J353" s="21">
        <v>9.83</v>
      </c>
      <c r="K353" s="20">
        <v>24</v>
      </c>
      <c r="L353" s="20">
        <v>23</v>
      </c>
      <c r="M353" s="20" t="s">
        <v>189</v>
      </c>
    </row>
    <row r="354" spans="1:13" ht="16.5" customHeight="1" x14ac:dyDescent="0.45">
      <c r="A354" s="22" t="s">
        <v>721</v>
      </c>
      <c r="B354" s="22" t="s">
        <v>507</v>
      </c>
      <c r="C354" s="22" t="s">
        <v>109</v>
      </c>
      <c r="D354" s="22" t="s">
        <v>110</v>
      </c>
      <c r="E354" s="22" t="s">
        <v>111</v>
      </c>
      <c r="F354" s="22" t="s">
        <v>119</v>
      </c>
      <c r="G354" s="22" t="s">
        <v>113</v>
      </c>
      <c r="H354" s="22" t="s">
        <v>114</v>
      </c>
      <c r="I354" s="23">
        <v>154762.34</v>
      </c>
      <c r="J354" s="23">
        <v>8.09</v>
      </c>
      <c r="K354" s="22">
        <v>180</v>
      </c>
      <c r="L354" s="22">
        <v>51</v>
      </c>
      <c r="M354" s="22" t="s">
        <v>131</v>
      </c>
    </row>
    <row r="355" spans="1:13" ht="16.5" customHeight="1" x14ac:dyDescent="0.45">
      <c r="A355" s="20" t="s">
        <v>722</v>
      </c>
      <c r="B355" s="20" t="s">
        <v>195</v>
      </c>
      <c r="C355" s="20" t="s">
        <v>176</v>
      </c>
      <c r="D355" s="20" t="s">
        <v>134</v>
      </c>
      <c r="E355" s="20" t="s">
        <v>135</v>
      </c>
      <c r="F355" s="20" t="s">
        <v>119</v>
      </c>
      <c r="G355" s="20" t="s">
        <v>113</v>
      </c>
      <c r="H355" s="20" t="s">
        <v>121</v>
      </c>
      <c r="I355" s="21">
        <v>80352.05</v>
      </c>
      <c r="J355" s="21">
        <v>3.92</v>
      </c>
      <c r="K355" s="20">
        <v>360</v>
      </c>
      <c r="L355" s="20">
        <v>28</v>
      </c>
      <c r="M355" s="20" t="s">
        <v>115</v>
      </c>
    </row>
    <row r="356" spans="1:13" ht="16.5" customHeight="1" x14ac:dyDescent="0.45">
      <c r="A356" s="22" t="s">
        <v>723</v>
      </c>
      <c r="B356" s="22" t="s">
        <v>724</v>
      </c>
      <c r="C356" s="22" t="s">
        <v>176</v>
      </c>
      <c r="D356" s="22" t="s">
        <v>139</v>
      </c>
      <c r="E356" s="22" t="s">
        <v>140</v>
      </c>
      <c r="F356" s="22" t="s">
        <v>141</v>
      </c>
      <c r="G356" s="22" t="s">
        <v>113</v>
      </c>
      <c r="H356" s="22" t="s">
        <v>121</v>
      </c>
      <c r="I356" s="23">
        <v>190188.4</v>
      </c>
      <c r="J356" s="23">
        <v>7.74</v>
      </c>
      <c r="K356" s="22">
        <v>48</v>
      </c>
      <c r="L356" s="22">
        <v>44</v>
      </c>
      <c r="M356" s="22" t="s">
        <v>131</v>
      </c>
    </row>
    <row r="357" spans="1:13" ht="16.5" customHeight="1" x14ac:dyDescent="0.45">
      <c r="A357" s="20" t="s">
        <v>725</v>
      </c>
      <c r="B357" s="20" t="s">
        <v>408</v>
      </c>
      <c r="C357" s="20" t="s">
        <v>109</v>
      </c>
      <c r="D357" s="20" t="s">
        <v>134</v>
      </c>
      <c r="E357" s="20" t="s">
        <v>135</v>
      </c>
      <c r="F357" s="20" t="s">
        <v>119</v>
      </c>
      <c r="G357" s="20" t="s">
        <v>113</v>
      </c>
      <c r="H357" s="20" t="s">
        <v>126</v>
      </c>
      <c r="I357" s="21">
        <v>180266.17</v>
      </c>
      <c r="J357" s="21">
        <v>2.54</v>
      </c>
      <c r="K357" s="20">
        <v>48</v>
      </c>
      <c r="L357" s="20">
        <v>23</v>
      </c>
      <c r="M357" s="20" t="s">
        <v>131</v>
      </c>
    </row>
    <row r="358" spans="1:13" ht="16.5" customHeight="1" x14ac:dyDescent="0.45">
      <c r="A358" s="22" t="s">
        <v>726</v>
      </c>
      <c r="B358" s="22" t="s">
        <v>165</v>
      </c>
      <c r="C358" s="22" t="s">
        <v>229</v>
      </c>
      <c r="D358" s="22" t="s">
        <v>110</v>
      </c>
      <c r="E358" s="22" t="s">
        <v>111</v>
      </c>
      <c r="F358" s="22" t="s">
        <v>136</v>
      </c>
      <c r="G358" s="22" t="s">
        <v>113</v>
      </c>
      <c r="H358" s="22" t="s">
        <v>126</v>
      </c>
      <c r="I358" s="23">
        <v>188609.83</v>
      </c>
      <c r="J358" s="23">
        <v>8.0399999999999991</v>
      </c>
      <c r="K358" s="22">
        <v>60</v>
      </c>
      <c r="L358" s="22">
        <v>26</v>
      </c>
      <c r="M358" s="22" t="s">
        <v>131</v>
      </c>
    </row>
    <row r="359" spans="1:13" ht="16.5" customHeight="1" x14ac:dyDescent="0.45">
      <c r="A359" s="20" t="s">
        <v>727</v>
      </c>
      <c r="B359" s="20" t="s">
        <v>652</v>
      </c>
      <c r="C359" s="20" t="s">
        <v>147</v>
      </c>
      <c r="D359" s="20" t="s">
        <v>118</v>
      </c>
      <c r="E359" s="20" t="s">
        <v>111</v>
      </c>
      <c r="F359" s="20" t="s">
        <v>119</v>
      </c>
      <c r="G359" s="20" t="s">
        <v>130</v>
      </c>
      <c r="H359" s="20" t="s">
        <v>126</v>
      </c>
      <c r="I359" s="21">
        <v>113997.39</v>
      </c>
      <c r="J359" s="21">
        <v>7.73</v>
      </c>
      <c r="K359" s="20">
        <v>360</v>
      </c>
      <c r="L359" s="20">
        <v>48</v>
      </c>
      <c r="M359" s="20" t="s">
        <v>131</v>
      </c>
    </row>
    <row r="360" spans="1:13" ht="16.5" customHeight="1" x14ac:dyDescent="0.45">
      <c r="A360" s="22" t="s">
        <v>728</v>
      </c>
      <c r="B360" s="22" t="s">
        <v>729</v>
      </c>
      <c r="C360" s="22" t="s">
        <v>124</v>
      </c>
      <c r="D360" s="22" t="s">
        <v>139</v>
      </c>
      <c r="E360" s="22" t="s">
        <v>140</v>
      </c>
      <c r="F360" s="22" t="s">
        <v>119</v>
      </c>
      <c r="G360" s="22" t="s">
        <v>113</v>
      </c>
      <c r="H360" s="22" t="s">
        <v>126</v>
      </c>
      <c r="I360" s="23">
        <v>69759.8</v>
      </c>
      <c r="J360" s="23">
        <v>3.24</v>
      </c>
      <c r="K360" s="22">
        <v>36</v>
      </c>
      <c r="L360" s="22">
        <v>33</v>
      </c>
      <c r="M360" s="22" t="s">
        <v>115</v>
      </c>
    </row>
    <row r="361" spans="1:13" ht="16.5" customHeight="1" x14ac:dyDescent="0.45">
      <c r="A361" s="20" t="s">
        <v>730</v>
      </c>
      <c r="B361" s="20" t="s">
        <v>731</v>
      </c>
      <c r="C361" s="20" t="s">
        <v>109</v>
      </c>
      <c r="D361" s="20" t="s">
        <v>129</v>
      </c>
      <c r="E361" s="20" t="s">
        <v>111</v>
      </c>
      <c r="F361" s="20" t="s">
        <v>112</v>
      </c>
      <c r="G361" s="20" t="s">
        <v>113</v>
      </c>
      <c r="H361" s="20" t="s">
        <v>121</v>
      </c>
      <c r="I361" s="21">
        <v>174230.8</v>
      </c>
      <c r="J361" s="21">
        <v>4.25</v>
      </c>
      <c r="K361" s="20">
        <v>180</v>
      </c>
      <c r="L361" s="20">
        <v>63</v>
      </c>
      <c r="M361" s="20" t="s">
        <v>131</v>
      </c>
    </row>
    <row r="362" spans="1:13" ht="16.5" customHeight="1" x14ac:dyDescent="0.45">
      <c r="A362" s="22" t="s">
        <v>732</v>
      </c>
      <c r="B362" s="22" t="s">
        <v>733</v>
      </c>
      <c r="C362" s="22" t="s">
        <v>124</v>
      </c>
      <c r="D362" s="22" t="s">
        <v>134</v>
      </c>
      <c r="E362" s="22" t="s">
        <v>135</v>
      </c>
      <c r="F362" s="22" t="s">
        <v>119</v>
      </c>
      <c r="G362" s="22" t="s">
        <v>113</v>
      </c>
      <c r="H362" s="22" t="s">
        <v>114</v>
      </c>
      <c r="I362" s="23">
        <v>97668.51</v>
      </c>
      <c r="J362" s="23">
        <v>6.54</v>
      </c>
      <c r="K362" s="22">
        <v>48</v>
      </c>
      <c r="L362" s="22">
        <v>26</v>
      </c>
      <c r="M362" s="22" t="s">
        <v>115</v>
      </c>
    </row>
    <row r="363" spans="1:13" ht="16.5" customHeight="1" x14ac:dyDescent="0.45">
      <c r="A363" s="20" t="s">
        <v>734</v>
      </c>
      <c r="B363" s="20" t="s">
        <v>414</v>
      </c>
      <c r="C363" s="20" t="s">
        <v>176</v>
      </c>
      <c r="D363" s="20" t="s">
        <v>163</v>
      </c>
      <c r="E363" s="20" t="s">
        <v>135</v>
      </c>
      <c r="F363" s="20" t="s">
        <v>141</v>
      </c>
      <c r="G363" s="20" t="s">
        <v>113</v>
      </c>
      <c r="H363" s="20" t="s">
        <v>121</v>
      </c>
      <c r="I363" s="21">
        <v>169715.39</v>
      </c>
      <c r="J363" s="21">
        <v>2.6</v>
      </c>
      <c r="K363" s="20">
        <v>360</v>
      </c>
      <c r="L363" s="20">
        <v>50</v>
      </c>
      <c r="M363" s="20" t="s">
        <v>131</v>
      </c>
    </row>
    <row r="364" spans="1:13" ht="16.5" customHeight="1" x14ac:dyDescent="0.45">
      <c r="A364" s="22" t="s">
        <v>735</v>
      </c>
      <c r="B364" s="22" t="s">
        <v>149</v>
      </c>
      <c r="C364" s="22" t="s">
        <v>109</v>
      </c>
      <c r="D364" s="22" t="s">
        <v>134</v>
      </c>
      <c r="E364" s="22" t="s">
        <v>135</v>
      </c>
      <c r="F364" s="22" t="s">
        <v>119</v>
      </c>
      <c r="G364" s="22" t="s">
        <v>113</v>
      </c>
      <c r="H364" s="22" t="s">
        <v>114</v>
      </c>
      <c r="I364" s="23">
        <v>65292.27</v>
      </c>
      <c r="J364" s="23">
        <v>10.95</v>
      </c>
      <c r="K364" s="22">
        <v>24</v>
      </c>
      <c r="L364" s="22">
        <v>35</v>
      </c>
      <c r="M364" s="22" t="s">
        <v>115</v>
      </c>
    </row>
    <row r="365" spans="1:13" ht="16.5" customHeight="1" x14ac:dyDescent="0.45">
      <c r="A365" s="20" t="s">
        <v>736</v>
      </c>
      <c r="B365" s="20" t="s">
        <v>737</v>
      </c>
      <c r="C365" s="20" t="s">
        <v>144</v>
      </c>
      <c r="D365" s="20" t="s">
        <v>163</v>
      </c>
      <c r="E365" s="20" t="s">
        <v>135</v>
      </c>
      <c r="F365" s="20" t="s">
        <v>141</v>
      </c>
      <c r="G365" s="20" t="s">
        <v>130</v>
      </c>
      <c r="H365" s="20" t="s">
        <v>114</v>
      </c>
      <c r="I365" s="21">
        <v>154031.34</v>
      </c>
      <c r="J365" s="21">
        <v>10.92</v>
      </c>
      <c r="K365" s="20">
        <v>180</v>
      </c>
      <c r="L365" s="20">
        <v>27</v>
      </c>
      <c r="M365" s="20" t="s">
        <v>131</v>
      </c>
    </row>
    <row r="366" spans="1:13" ht="16.5" customHeight="1" x14ac:dyDescent="0.45">
      <c r="A366" s="22" t="s">
        <v>738</v>
      </c>
      <c r="B366" s="22" t="s">
        <v>494</v>
      </c>
      <c r="C366" s="22" t="s">
        <v>147</v>
      </c>
      <c r="D366" s="22" t="s">
        <v>134</v>
      </c>
      <c r="E366" s="22" t="s">
        <v>135</v>
      </c>
      <c r="F366" s="22" t="s">
        <v>136</v>
      </c>
      <c r="G366" s="22" t="s">
        <v>113</v>
      </c>
      <c r="H366" s="22" t="s">
        <v>121</v>
      </c>
      <c r="I366" s="23">
        <v>165560.38</v>
      </c>
      <c r="J366" s="23">
        <v>2.68</v>
      </c>
      <c r="K366" s="22">
        <v>36</v>
      </c>
      <c r="L366" s="22">
        <v>69</v>
      </c>
      <c r="M366" s="22" t="s">
        <v>131</v>
      </c>
    </row>
    <row r="367" spans="1:13" ht="16.5" customHeight="1" x14ac:dyDescent="0.45">
      <c r="A367" s="20" t="s">
        <v>739</v>
      </c>
      <c r="B367" s="20" t="s">
        <v>277</v>
      </c>
      <c r="C367" s="20" t="s">
        <v>176</v>
      </c>
      <c r="D367" s="20" t="s">
        <v>129</v>
      </c>
      <c r="E367" s="20" t="s">
        <v>111</v>
      </c>
      <c r="F367" s="20" t="s">
        <v>141</v>
      </c>
      <c r="G367" s="20" t="s">
        <v>113</v>
      </c>
      <c r="H367" s="20" t="s">
        <v>114</v>
      </c>
      <c r="I367" s="21">
        <v>175899.56</v>
      </c>
      <c r="J367" s="21">
        <v>9.33</v>
      </c>
      <c r="K367" s="20">
        <v>48</v>
      </c>
      <c r="L367" s="20">
        <v>54</v>
      </c>
      <c r="M367" s="20" t="s">
        <v>131</v>
      </c>
    </row>
    <row r="368" spans="1:13" ht="16.5" customHeight="1" x14ac:dyDescent="0.45">
      <c r="A368" s="22" t="s">
        <v>740</v>
      </c>
      <c r="B368" s="22" t="s">
        <v>161</v>
      </c>
      <c r="C368" s="22" t="s">
        <v>124</v>
      </c>
      <c r="D368" s="22" t="s">
        <v>156</v>
      </c>
      <c r="E368" s="22" t="s">
        <v>111</v>
      </c>
      <c r="F368" s="22" t="s">
        <v>125</v>
      </c>
      <c r="G368" s="22" t="s">
        <v>113</v>
      </c>
      <c r="H368" s="22" t="s">
        <v>114</v>
      </c>
      <c r="I368" s="23"/>
      <c r="J368" s="23">
        <v>3.06</v>
      </c>
      <c r="K368" s="22">
        <v>48</v>
      </c>
      <c r="L368" s="22">
        <v>50</v>
      </c>
      <c r="M368" s="22" t="s">
        <v>131</v>
      </c>
    </row>
    <row r="369" spans="1:13" ht="16.5" customHeight="1" x14ac:dyDescent="0.45">
      <c r="A369" s="20" t="s">
        <v>741</v>
      </c>
      <c r="B369" s="20" t="s">
        <v>742</v>
      </c>
      <c r="C369" s="20" t="s">
        <v>124</v>
      </c>
      <c r="D369" s="20" t="s">
        <v>156</v>
      </c>
      <c r="E369" s="20" t="s">
        <v>111</v>
      </c>
      <c r="F369" s="20" t="s">
        <v>136</v>
      </c>
      <c r="G369" s="20" t="s">
        <v>120</v>
      </c>
      <c r="H369" s="20" t="s">
        <v>126</v>
      </c>
      <c r="I369" s="21">
        <v>137507.37</v>
      </c>
      <c r="J369" s="21">
        <v>12.52</v>
      </c>
      <c r="K369" s="20">
        <v>60</v>
      </c>
      <c r="L369" s="20">
        <v>66</v>
      </c>
      <c r="M369" s="20" t="s">
        <v>131</v>
      </c>
    </row>
    <row r="370" spans="1:13" ht="16.5" customHeight="1" x14ac:dyDescent="0.45">
      <c r="A370" s="22" t="s">
        <v>743</v>
      </c>
      <c r="B370" s="22" t="s">
        <v>509</v>
      </c>
      <c r="C370" s="22" t="s">
        <v>147</v>
      </c>
      <c r="D370" s="22" t="s">
        <v>134</v>
      </c>
      <c r="E370" s="22" t="s">
        <v>135</v>
      </c>
      <c r="F370" s="22" t="s">
        <v>136</v>
      </c>
      <c r="G370" s="22" t="s">
        <v>113</v>
      </c>
      <c r="H370" s="22" t="s">
        <v>114</v>
      </c>
      <c r="I370" s="23">
        <v>20234.939999999999</v>
      </c>
      <c r="J370" s="23">
        <v>4.18</v>
      </c>
      <c r="K370" s="22">
        <v>48</v>
      </c>
      <c r="L370" s="22">
        <v>51</v>
      </c>
      <c r="M370" s="22" t="s">
        <v>189</v>
      </c>
    </row>
    <row r="371" spans="1:13" ht="16.5" customHeight="1" x14ac:dyDescent="0.45">
      <c r="A371" s="20" t="s">
        <v>744</v>
      </c>
      <c r="B371" s="20" t="s">
        <v>339</v>
      </c>
      <c r="C371" s="20" t="s">
        <v>147</v>
      </c>
      <c r="D371" s="20" t="s">
        <v>159</v>
      </c>
      <c r="E371" s="20" t="s">
        <v>135</v>
      </c>
      <c r="F371" s="20" t="s">
        <v>141</v>
      </c>
      <c r="G371" s="20" t="s">
        <v>113</v>
      </c>
      <c r="H371" s="20" t="s">
        <v>121</v>
      </c>
      <c r="I371" s="21">
        <v>102643.35</v>
      </c>
      <c r="J371" s="21">
        <v>6.96</v>
      </c>
      <c r="K371" s="20">
        <v>360</v>
      </c>
      <c r="L371" s="20">
        <v>66</v>
      </c>
      <c r="M371" s="20" t="s">
        <v>131</v>
      </c>
    </row>
    <row r="372" spans="1:13" ht="16.5" customHeight="1" x14ac:dyDescent="0.45">
      <c r="A372" s="22" t="s">
        <v>745</v>
      </c>
      <c r="B372" s="22" t="s">
        <v>406</v>
      </c>
      <c r="C372" s="22" t="s">
        <v>109</v>
      </c>
      <c r="D372" s="22" t="s">
        <v>129</v>
      </c>
      <c r="E372" s="22" t="s">
        <v>111</v>
      </c>
      <c r="F372" s="22" t="s">
        <v>136</v>
      </c>
      <c r="G372" s="22" t="s">
        <v>120</v>
      </c>
      <c r="H372" s="22" t="s">
        <v>121</v>
      </c>
      <c r="I372" s="23">
        <v>136074.25</v>
      </c>
      <c r="J372" s="23">
        <v>6.99</v>
      </c>
      <c r="K372" s="22">
        <v>48</v>
      </c>
      <c r="L372" s="22">
        <v>35</v>
      </c>
      <c r="M372" s="22" t="s">
        <v>131</v>
      </c>
    </row>
    <row r="373" spans="1:13" ht="16.5" customHeight="1" x14ac:dyDescent="0.45">
      <c r="A373" s="20" t="s">
        <v>746</v>
      </c>
      <c r="B373" s="20" t="s">
        <v>329</v>
      </c>
      <c r="C373" s="20" t="s">
        <v>109</v>
      </c>
      <c r="D373" s="20" t="s">
        <v>159</v>
      </c>
      <c r="E373" s="20" t="s">
        <v>135</v>
      </c>
      <c r="F373" s="20" t="s">
        <v>112</v>
      </c>
      <c r="G373" s="20" t="s">
        <v>113</v>
      </c>
      <c r="H373" s="20" t="s">
        <v>114</v>
      </c>
      <c r="I373" s="21">
        <v>94827.86</v>
      </c>
      <c r="J373" s="21">
        <v>13.55</v>
      </c>
      <c r="K373" s="20">
        <v>48</v>
      </c>
      <c r="L373" s="20">
        <v>71</v>
      </c>
      <c r="M373" s="20" t="s">
        <v>115</v>
      </c>
    </row>
    <row r="374" spans="1:13" ht="16.5" customHeight="1" x14ac:dyDescent="0.45">
      <c r="A374" s="22" t="s">
        <v>747</v>
      </c>
      <c r="B374" s="22" t="s">
        <v>748</v>
      </c>
      <c r="C374" s="22" t="s">
        <v>176</v>
      </c>
      <c r="D374" s="22" t="s">
        <v>156</v>
      </c>
      <c r="E374" s="22" t="s">
        <v>111</v>
      </c>
      <c r="F374" s="22" t="s">
        <v>112</v>
      </c>
      <c r="G374" s="22" t="s">
        <v>120</v>
      </c>
      <c r="H374" s="22" t="s">
        <v>114</v>
      </c>
      <c r="I374" s="23">
        <v>204240.6</v>
      </c>
      <c r="J374" s="23">
        <v>7.67</v>
      </c>
      <c r="K374" s="22">
        <v>36</v>
      </c>
      <c r="L374" s="22">
        <v>56</v>
      </c>
      <c r="M374" s="22" t="s">
        <v>131</v>
      </c>
    </row>
    <row r="375" spans="1:13" ht="16.5" customHeight="1" x14ac:dyDescent="0.45">
      <c r="A375" s="20" t="s">
        <v>749</v>
      </c>
      <c r="B375" s="20" t="s">
        <v>248</v>
      </c>
      <c r="C375" s="20" t="s">
        <v>147</v>
      </c>
      <c r="D375" s="20" t="s">
        <v>118</v>
      </c>
      <c r="E375" s="20" t="s">
        <v>111</v>
      </c>
      <c r="F375" s="20" t="s">
        <v>136</v>
      </c>
      <c r="G375" s="20" t="s">
        <v>113</v>
      </c>
      <c r="H375" s="20" t="s">
        <v>121</v>
      </c>
      <c r="I375" s="21">
        <v>48472.19</v>
      </c>
      <c r="J375" s="21">
        <v>13.61</v>
      </c>
      <c r="K375" s="20">
        <v>6</v>
      </c>
      <c r="L375" s="20">
        <v>24</v>
      </c>
      <c r="M375" s="20" t="s">
        <v>115</v>
      </c>
    </row>
    <row r="376" spans="1:13" ht="16.5" customHeight="1" x14ac:dyDescent="0.45">
      <c r="A376" s="22" t="s">
        <v>750</v>
      </c>
      <c r="B376" s="22" t="s">
        <v>751</v>
      </c>
      <c r="C376" s="22" t="s">
        <v>162</v>
      </c>
      <c r="D376" s="22" t="s">
        <v>139</v>
      </c>
      <c r="E376" s="22" t="s">
        <v>140</v>
      </c>
      <c r="F376" s="22" t="s">
        <v>141</v>
      </c>
      <c r="G376" s="22" t="s">
        <v>113</v>
      </c>
      <c r="H376" s="22" t="s">
        <v>114</v>
      </c>
      <c r="I376" s="23">
        <v>91103.679999999993</v>
      </c>
      <c r="J376" s="23">
        <v>10.54</v>
      </c>
      <c r="K376" s="22">
        <v>360</v>
      </c>
      <c r="L376" s="22">
        <v>46</v>
      </c>
      <c r="M376" s="22" t="s">
        <v>115</v>
      </c>
    </row>
    <row r="377" spans="1:13" ht="16.5" customHeight="1" x14ac:dyDescent="0.45">
      <c r="A377" s="20" t="s">
        <v>752</v>
      </c>
      <c r="B377" s="20" t="s">
        <v>753</v>
      </c>
      <c r="C377" s="20" t="s">
        <v>147</v>
      </c>
      <c r="D377" s="20" t="s">
        <v>156</v>
      </c>
      <c r="E377" s="20" t="s">
        <v>111</v>
      </c>
      <c r="F377" s="20" t="s">
        <v>136</v>
      </c>
      <c r="G377" s="20" t="s">
        <v>113</v>
      </c>
      <c r="H377" s="20" t="s">
        <v>126</v>
      </c>
      <c r="I377" s="21">
        <v>132699.37</v>
      </c>
      <c r="J377" s="21">
        <v>6.18</v>
      </c>
      <c r="K377" s="20">
        <v>240</v>
      </c>
      <c r="L377" s="20">
        <v>56</v>
      </c>
      <c r="M377" s="20" t="s">
        <v>131</v>
      </c>
    </row>
    <row r="378" spans="1:13" ht="16.5" customHeight="1" x14ac:dyDescent="0.45">
      <c r="A378" s="22" t="s">
        <v>754</v>
      </c>
      <c r="B378" s="22" t="s">
        <v>559</v>
      </c>
      <c r="C378" s="22" t="s">
        <v>109</v>
      </c>
      <c r="D378" s="22" t="s">
        <v>110</v>
      </c>
      <c r="E378" s="22" t="s">
        <v>111</v>
      </c>
      <c r="F378" s="22" t="s">
        <v>125</v>
      </c>
      <c r="G378" s="22" t="s">
        <v>120</v>
      </c>
      <c r="H378" s="22" t="s">
        <v>121</v>
      </c>
      <c r="I378" s="23">
        <v>37976.9</v>
      </c>
      <c r="J378" s="23">
        <v>3.65</v>
      </c>
      <c r="K378" s="22">
        <v>24</v>
      </c>
      <c r="L378" s="22">
        <v>60</v>
      </c>
      <c r="M378" s="22" t="s">
        <v>115</v>
      </c>
    </row>
    <row r="379" spans="1:13" ht="16.5" customHeight="1" x14ac:dyDescent="0.45">
      <c r="A379" s="20" t="s">
        <v>755</v>
      </c>
      <c r="B379" s="20" t="s">
        <v>346</v>
      </c>
      <c r="C379" s="20" t="s">
        <v>147</v>
      </c>
      <c r="D379" s="20" t="s">
        <v>139</v>
      </c>
      <c r="E379" s="20" t="s">
        <v>140</v>
      </c>
      <c r="F379" s="20" t="s">
        <v>136</v>
      </c>
      <c r="G379" s="20" t="s">
        <v>120</v>
      </c>
      <c r="H379" s="20" t="s">
        <v>114</v>
      </c>
      <c r="I379" s="21">
        <v>113654.85</v>
      </c>
      <c r="J379" s="21">
        <v>5.75</v>
      </c>
      <c r="K379" s="20">
        <v>60</v>
      </c>
      <c r="L379" s="20">
        <v>35</v>
      </c>
      <c r="M379" s="20" t="s">
        <v>131</v>
      </c>
    </row>
    <row r="380" spans="1:13" ht="16.5" customHeight="1" x14ac:dyDescent="0.45">
      <c r="A380" s="22" t="s">
        <v>756</v>
      </c>
      <c r="B380" s="22" t="s">
        <v>757</v>
      </c>
      <c r="C380" s="22" t="s">
        <v>124</v>
      </c>
      <c r="D380" s="22" t="s">
        <v>129</v>
      </c>
      <c r="E380" s="22" t="s">
        <v>111</v>
      </c>
      <c r="F380" s="22" t="s">
        <v>119</v>
      </c>
      <c r="G380" s="22" t="s">
        <v>113</v>
      </c>
      <c r="H380" s="22" t="s">
        <v>121</v>
      </c>
      <c r="I380" s="23">
        <v>204824.6</v>
      </c>
      <c r="J380" s="23">
        <v>12.34</v>
      </c>
      <c r="K380" s="22">
        <v>48</v>
      </c>
      <c r="L380" s="22">
        <v>42</v>
      </c>
      <c r="M380" s="22" t="s">
        <v>131</v>
      </c>
    </row>
    <row r="381" spans="1:13" ht="16.5" customHeight="1" x14ac:dyDescent="0.45">
      <c r="A381" s="20" t="s">
        <v>758</v>
      </c>
      <c r="B381" s="20" t="s">
        <v>451</v>
      </c>
      <c r="C381" s="20" t="s">
        <v>144</v>
      </c>
      <c r="D381" s="20" t="s">
        <v>129</v>
      </c>
      <c r="E381" s="20" t="s">
        <v>111</v>
      </c>
      <c r="F381" s="20" t="s">
        <v>141</v>
      </c>
      <c r="G381" s="20" t="s">
        <v>113</v>
      </c>
      <c r="H381" s="20" t="s">
        <v>114</v>
      </c>
      <c r="I381" s="21">
        <v>220933.02</v>
      </c>
      <c r="J381" s="21">
        <v>9.4600000000000009</v>
      </c>
      <c r="K381" s="20">
        <v>60</v>
      </c>
      <c r="L381" s="20">
        <v>22</v>
      </c>
      <c r="M381" s="20" t="s">
        <v>131</v>
      </c>
    </row>
    <row r="382" spans="1:13" ht="16.5" customHeight="1" x14ac:dyDescent="0.45">
      <c r="A382" s="22" t="s">
        <v>759</v>
      </c>
      <c r="B382" s="22" t="s">
        <v>733</v>
      </c>
      <c r="C382" s="22" t="s">
        <v>147</v>
      </c>
      <c r="D382" s="22" t="s">
        <v>110</v>
      </c>
      <c r="E382" s="22" t="s">
        <v>111</v>
      </c>
      <c r="F382" s="22" t="s">
        <v>119</v>
      </c>
      <c r="G382" s="22" t="s">
        <v>113</v>
      </c>
      <c r="H382" s="22" t="s">
        <v>121</v>
      </c>
      <c r="I382" s="23">
        <v>22851.62</v>
      </c>
      <c r="J382" s="23">
        <v>6.75</v>
      </c>
      <c r="K382" s="22">
        <v>6</v>
      </c>
      <c r="L382" s="22">
        <v>70</v>
      </c>
      <c r="M382" s="22" t="s">
        <v>189</v>
      </c>
    </row>
    <row r="383" spans="1:13" ht="16.5" customHeight="1" x14ac:dyDescent="0.45">
      <c r="A383" s="20" t="s">
        <v>760</v>
      </c>
      <c r="B383" s="20" t="s">
        <v>210</v>
      </c>
      <c r="C383" s="20" t="s">
        <v>124</v>
      </c>
      <c r="D383" s="20" t="s">
        <v>129</v>
      </c>
      <c r="E383" s="20" t="s">
        <v>111</v>
      </c>
      <c r="F383" s="20" t="s">
        <v>112</v>
      </c>
      <c r="G383" s="20" t="s">
        <v>130</v>
      </c>
      <c r="H383" s="20" t="s">
        <v>114</v>
      </c>
      <c r="I383" s="21">
        <v>207473.73</v>
      </c>
      <c r="J383" s="21">
        <v>12.38</v>
      </c>
      <c r="K383" s="20">
        <v>36</v>
      </c>
      <c r="L383" s="20">
        <v>42</v>
      </c>
      <c r="M383" s="20" t="s">
        <v>131</v>
      </c>
    </row>
    <row r="384" spans="1:13" ht="16.5" customHeight="1" x14ac:dyDescent="0.45">
      <c r="A384" s="22" t="s">
        <v>761</v>
      </c>
      <c r="B384" s="22" t="s">
        <v>762</v>
      </c>
      <c r="C384" s="22" t="s">
        <v>147</v>
      </c>
      <c r="D384" s="22" t="s">
        <v>134</v>
      </c>
      <c r="E384" s="22" t="s">
        <v>135</v>
      </c>
      <c r="F384" s="22" t="s">
        <v>136</v>
      </c>
      <c r="G384" s="22" t="s">
        <v>113</v>
      </c>
      <c r="H384" s="22" t="s">
        <v>126</v>
      </c>
      <c r="I384" s="23">
        <v>2208.5</v>
      </c>
      <c r="J384" s="23">
        <v>8.93</v>
      </c>
      <c r="K384" s="22">
        <v>240</v>
      </c>
      <c r="L384" s="22">
        <v>66</v>
      </c>
      <c r="M384" s="22" t="s">
        <v>189</v>
      </c>
    </row>
    <row r="385" spans="1:13" ht="16.5" customHeight="1" x14ac:dyDescent="0.45">
      <c r="A385" s="20" t="s">
        <v>763</v>
      </c>
      <c r="B385" s="20" t="s">
        <v>764</v>
      </c>
      <c r="C385" s="20" t="s">
        <v>124</v>
      </c>
      <c r="D385" s="20" t="s">
        <v>129</v>
      </c>
      <c r="E385" s="20" t="s">
        <v>111</v>
      </c>
      <c r="F385" s="20" t="s">
        <v>125</v>
      </c>
      <c r="G385" s="20" t="s">
        <v>113</v>
      </c>
      <c r="H385" s="20" t="s">
        <v>114</v>
      </c>
      <c r="I385" s="21">
        <v>227842.03</v>
      </c>
      <c r="J385" s="21">
        <v>10.42</v>
      </c>
      <c r="K385" s="20">
        <v>60</v>
      </c>
      <c r="L385" s="20">
        <v>60</v>
      </c>
      <c r="M385" s="20" t="s">
        <v>131</v>
      </c>
    </row>
    <row r="386" spans="1:13" ht="16.5" customHeight="1" x14ac:dyDescent="0.45">
      <c r="A386" s="22" t="s">
        <v>765</v>
      </c>
      <c r="B386" s="22" t="s">
        <v>188</v>
      </c>
      <c r="C386" s="22" t="s">
        <v>124</v>
      </c>
      <c r="D386" s="22" t="s">
        <v>159</v>
      </c>
      <c r="E386" s="22" t="s">
        <v>135</v>
      </c>
      <c r="F386" s="22" t="s">
        <v>112</v>
      </c>
      <c r="G386" s="22" t="s">
        <v>130</v>
      </c>
      <c r="H386" s="22" t="s">
        <v>114</v>
      </c>
      <c r="I386" s="23">
        <v>46796.71</v>
      </c>
      <c r="J386" s="23">
        <v>12.99</v>
      </c>
      <c r="K386" s="22">
        <v>12</v>
      </c>
      <c r="L386" s="22">
        <v>59</v>
      </c>
      <c r="M386" s="22" t="s">
        <v>115</v>
      </c>
    </row>
    <row r="387" spans="1:13" ht="16.5" customHeight="1" x14ac:dyDescent="0.45">
      <c r="A387" s="20" t="s">
        <v>766</v>
      </c>
      <c r="B387" s="20" t="s">
        <v>169</v>
      </c>
      <c r="C387" s="20" t="s">
        <v>162</v>
      </c>
      <c r="D387" s="20" t="s">
        <v>163</v>
      </c>
      <c r="E387" s="20" t="s">
        <v>135</v>
      </c>
      <c r="F387" s="20" t="s">
        <v>119</v>
      </c>
      <c r="G387" s="20" t="s">
        <v>113</v>
      </c>
      <c r="H387" s="20" t="s">
        <v>126</v>
      </c>
      <c r="I387" s="21">
        <v>123382.13</v>
      </c>
      <c r="J387" s="21">
        <v>9.26</v>
      </c>
      <c r="K387" s="20">
        <v>180</v>
      </c>
      <c r="L387" s="20">
        <v>64</v>
      </c>
      <c r="M387" s="20" t="s">
        <v>131</v>
      </c>
    </row>
    <row r="388" spans="1:13" ht="16.5" customHeight="1" x14ac:dyDescent="0.45">
      <c r="A388" s="22" t="s">
        <v>767</v>
      </c>
      <c r="B388" s="22" t="s">
        <v>281</v>
      </c>
      <c r="C388" s="22" t="s">
        <v>147</v>
      </c>
      <c r="D388" s="22" t="s">
        <v>139</v>
      </c>
      <c r="E388" s="22" t="s">
        <v>140</v>
      </c>
      <c r="F388" s="22" t="s">
        <v>141</v>
      </c>
      <c r="G388" s="22" t="s">
        <v>113</v>
      </c>
      <c r="H388" s="22" t="s">
        <v>121</v>
      </c>
      <c r="I388" s="23">
        <v>33514.43</v>
      </c>
      <c r="J388" s="23">
        <v>7.04</v>
      </c>
      <c r="K388" s="22">
        <v>180</v>
      </c>
      <c r="L388" s="22">
        <v>35</v>
      </c>
      <c r="M388" s="22" t="s">
        <v>115</v>
      </c>
    </row>
    <row r="389" spans="1:13" ht="16.5" customHeight="1" x14ac:dyDescent="0.45">
      <c r="A389" s="20" t="s">
        <v>768</v>
      </c>
      <c r="B389" s="20" t="s">
        <v>769</v>
      </c>
      <c r="C389" s="20" t="s">
        <v>144</v>
      </c>
      <c r="D389" s="20" t="s">
        <v>139</v>
      </c>
      <c r="E389" s="20" t="s">
        <v>140</v>
      </c>
      <c r="F389" s="20" t="s">
        <v>141</v>
      </c>
      <c r="G389" s="20" t="s">
        <v>113</v>
      </c>
      <c r="H389" s="20" t="s">
        <v>114</v>
      </c>
      <c r="I389" s="21">
        <v>126041.48</v>
      </c>
      <c r="J389" s="21">
        <v>3.68</v>
      </c>
      <c r="K389" s="20">
        <v>180</v>
      </c>
      <c r="L389" s="20">
        <v>64</v>
      </c>
      <c r="M389" s="20" t="s">
        <v>131</v>
      </c>
    </row>
    <row r="390" spans="1:13" ht="16.5" customHeight="1" x14ac:dyDescent="0.45">
      <c r="A390" s="22" t="s">
        <v>770</v>
      </c>
      <c r="B390" s="22" t="s">
        <v>771</v>
      </c>
      <c r="C390" s="22" t="s">
        <v>109</v>
      </c>
      <c r="D390" s="22" t="s">
        <v>134</v>
      </c>
      <c r="E390" s="22" t="s">
        <v>135</v>
      </c>
      <c r="F390" s="22" t="s">
        <v>136</v>
      </c>
      <c r="G390" s="22" t="s">
        <v>113</v>
      </c>
      <c r="H390" s="22" t="s">
        <v>121</v>
      </c>
      <c r="I390" s="23">
        <v>153977.23000000001</v>
      </c>
      <c r="J390" s="23">
        <v>9.1300000000000008</v>
      </c>
      <c r="K390" s="22">
        <v>360</v>
      </c>
      <c r="L390" s="22">
        <v>55</v>
      </c>
      <c r="M390" s="22" t="s">
        <v>131</v>
      </c>
    </row>
    <row r="391" spans="1:13" ht="16.5" customHeight="1" x14ac:dyDescent="0.45">
      <c r="A391" s="20" t="s">
        <v>772</v>
      </c>
      <c r="B391" s="20" t="s">
        <v>773</v>
      </c>
      <c r="C391" s="20" t="s">
        <v>176</v>
      </c>
      <c r="D391" s="20" t="s">
        <v>110</v>
      </c>
      <c r="E391" s="20" t="s">
        <v>111</v>
      </c>
      <c r="F391" s="20" t="s">
        <v>112</v>
      </c>
      <c r="G391" s="20" t="s">
        <v>113</v>
      </c>
      <c r="H391" s="20" t="s">
        <v>114</v>
      </c>
      <c r="I391" s="21"/>
      <c r="J391" s="21">
        <v>13.58</v>
      </c>
      <c r="K391" s="20">
        <v>12</v>
      </c>
      <c r="L391" s="20">
        <v>22</v>
      </c>
      <c r="M391" s="20" t="s">
        <v>131</v>
      </c>
    </row>
    <row r="392" spans="1:13" ht="16.5" customHeight="1" x14ac:dyDescent="0.45">
      <c r="A392" s="22" t="s">
        <v>774</v>
      </c>
      <c r="B392" s="22" t="s">
        <v>775</v>
      </c>
      <c r="C392" s="22" t="s">
        <v>147</v>
      </c>
      <c r="D392" s="22" t="s">
        <v>156</v>
      </c>
      <c r="E392" s="22" t="s">
        <v>111</v>
      </c>
      <c r="F392" s="22" t="s">
        <v>112</v>
      </c>
      <c r="G392" s="22" t="s">
        <v>120</v>
      </c>
      <c r="H392" s="22" t="s">
        <v>126</v>
      </c>
      <c r="I392" s="23">
        <v>143498.82999999999</v>
      </c>
      <c r="J392" s="23">
        <v>5.08</v>
      </c>
      <c r="K392" s="22">
        <v>180</v>
      </c>
      <c r="L392" s="22">
        <v>35</v>
      </c>
      <c r="M392" s="22" t="s">
        <v>131</v>
      </c>
    </row>
    <row r="393" spans="1:13" ht="16.5" customHeight="1" x14ac:dyDescent="0.45">
      <c r="A393" s="20" t="s">
        <v>776</v>
      </c>
      <c r="B393" s="20" t="s">
        <v>665</v>
      </c>
      <c r="C393" s="20" t="s">
        <v>144</v>
      </c>
      <c r="D393" s="20" t="s">
        <v>118</v>
      </c>
      <c r="E393" s="20" t="s">
        <v>111</v>
      </c>
      <c r="F393" s="20" t="s">
        <v>119</v>
      </c>
      <c r="G393" s="20" t="s">
        <v>113</v>
      </c>
      <c r="H393" s="20" t="s">
        <v>126</v>
      </c>
      <c r="I393" s="21">
        <v>156339.13</v>
      </c>
      <c r="J393" s="21">
        <v>12.81</v>
      </c>
      <c r="K393" s="20">
        <v>240</v>
      </c>
      <c r="L393" s="20">
        <v>28</v>
      </c>
      <c r="M393" s="20" t="s">
        <v>131</v>
      </c>
    </row>
    <row r="394" spans="1:13" ht="16.5" customHeight="1" x14ac:dyDescent="0.45">
      <c r="A394" s="22" t="s">
        <v>777</v>
      </c>
      <c r="B394" s="22" t="s">
        <v>669</v>
      </c>
      <c r="C394" s="22" t="s">
        <v>176</v>
      </c>
      <c r="D394" s="22" t="s">
        <v>129</v>
      </c>
      <c r="E394" s="22" t="s">
        <v>111</v>
      </c>
      <c r="F394" s="22" t="s">
        <v>119</v>
      </c>
      <c r="G394" s="22" t="s">
        <v>113</v>
      </c>
      <c r="H394" s="22" t="s">
        <v>121</v>
      </c>
      <c r="I394" s="23">
        <v>245205.87</v>
      </c>
      <c r="J394" s="23">
        <v>10.41</v>
      </c>
      <c r="K394" s="22">
        <v>36</v>
      </c>
      <c r="L394" s="22">
        <v>71</v>
      </c>
      <c r="M394" s="22" t="s">
        <v>131</v>
      </c>
    </row>
    <row r="395" spans="1:13" ht="16.5" customHeight="1" x14ac:dyDescent="0.45">
      <c r="A395" s="20" t="s">
        <v>778</v>
      </c>
      <c r="B395" s="20" t="s">
        <v>757</v>
      </c>
      <c r="C395" s="20" t="s">
        <v>147</v>
      </c>
      <c r="D395" s="20" t="s">
        <v>163</v>
      </c>
      <c r="E395" s="20" t="s">
        <v>135</v>
      </c>
      <c r="F395" s="20" t="s">
        <v>141</v>
      </c>
      <c r="G395" s="20" t="s">
        <v>113</v>
      </c>
      <c r="H395" s="20" t="s">
        <v>126</v>
      </c>
      <c r="I395" s="21">
        <v>171922.25</v>
      </c>
      <c r="J395" s="21">
        <v>8.74</v>
      </c>
      <c r="K395" s="20">
        <v>36</v>
      </c>
      <c r="L395" s="20">
        <v>34</v>
      </c>
      <c r="M395" s="20" t="s">
        <v>131</v>
      </c>
    </row>
    <row r="396" spans="1:13" ht="16.5" customHeight="1" x14ac:dyDescent="0.45">
      <c r="A396" s="22" t="s">
        <v>779</v>
      </c>
      <c r="B396" s="22" t="s">
        <v>780</v>
      </c>
      <c r="C396" s="22" t="s">
        <v>109</v>
      </c>
      <c r="D396" s="22" t="s">
        <v>129</v>
      </c>
      <c r="E396" s="22" t="s">
        <v>111</v>
      </c>
      <c r="F396" s="22" t="s">
        <v>119</v>
      </c>
      <c r="G396" s="22" t="s">
        <v>113</v>
      </c>
      <c r="H396" s="22" t="s">
        <v>114</v>
      </c>
      <c r="I396" s="23">
        <v>190203.19</v>
      </c>
      <c r="J396" s="23">
        <v>5.57</v>
      </c>
      <c r="K396" s="22">
        <v>240</v>
      </c>
      <c r="L396" s="22">
        <v>49</v>
      </c>
      <c r="M396" s="22" t="s">
        <v>131</v>
      </c>
    </row>
    <row r="397" spans="1:13" ht="16.5" customHeight="1" x14ac:dyDescent="0.45">
      <c r="A397" s="20" t="s">
        <v>781</v>
      </c>
      <c r="B397" s="20" t="s">
        <v>559</v>
      </c>
      <c r="C397" s="20" t="s">
        <v>147</v>
      </c>
      <c r="D397" s="20" t="s">
        <v>163</v>
      </c>
      <c r="E397" s="20" t="s">
        <v>135</v>
      </c>
      <c r="F397" s="20" t="s">
        <v>119</v>
      </c>
      <c r="G397" s="20" t="s">
        <v>113</v>
      </c>
      <c r="H397" s="20" t="s">
        <v>121</v>
      </c>
      <c r="I397" s="21">
        <v>112089.37</v>
      </c>
      <c r="J397" s="21">
        <v>9.42</v>
      </c>
      <c r="K397" s="20">
        <v>60</v>
      </c>
      <c r="L397" s="20">
        <v>22</v>
      </c>
      <c r="M397" s="20" t="s">
        <v>131</v>
      </c>
    </row>
    <row r="398" spans="1:13" ht="16.5" customHeight="1" x14ac:dyDescent="0.45">
      <c r="A398" s="22" t="s">
        <v>782</v>
      </c>
      <c r="B398" s="22" t="s">
        <v>329</v>
      </c>
      <c r="C398" s="22" t="s">
        <v>147</v>
      </c>
      <c r="D398" s="22" t="s">
        <v>156</v>
      </c>
      <c r="E398" s="22" t="s">
        <v>111</v>
      </c>
      <c r="F398" s="22" t="s">
        <v>125</v>
      </c>
      <c r="G398" s="22" t="s">
        <v>113</v>
      </c>
      <c r="H398" s="22" t="s">
        <v>126</v>
      </c>
      <c r="I398" s="23">
        <v>82548.27</v>
      </c>
      <c r="J398" s="23">
        <v>13.53</v>
      </c>
      <c r="K398" s="22">
        <v>240</v>
      </c>
      <c r="L398" s="22">
        <v>41</v>
      </c>
      <c r="M398" s="22" t="s">
        <v>115</v>
      </c>
    </row>
    <row r="399" spans="1:13" ht="16.5" customHeight="1" x14ac:dyDescent="0.45">
      <c r="A399" s="20" t="s">
        <v>783</v>
      </c>
      <c r="B399" s="20" t="s">
        <v>784</v>
      </c>
      <c r="C399" s="20" t="s">
        <v>124</v>
      </c>
      <c r="D399" s="20" t="s">
        <v>156</v>
      </c>
      <c r="E399" s="20" t="s">
        <v>111</v>
      </c>
      <c r="F399" s="20" t="s">
        <v>112</v>
      </c>
      <c r="G399" s="20" t="s">
        <v>120</v>
      </c>
      <c r="H399" s="20" t="s">
        <v>121</v>
      </c>
      <c r="I399" s="21">
        <v>35431.22</v>
      </c>
      <c r="J399" s="21">
        <v>13.75</v>
      </c>
      <c r="K399" s="20">
        <v>12</v>
      </c>
      <c r="L399" s="20">
        <v>49</v>
      </c>
      <c r="M399" s="20" t="s">
        <v>115</v>
      </c>
    </row>
    <row r="400" spans="1:13" ht="16.5" customHeight="1" x14ac:dyDescent="0.45">
      <c r="A400" s="22" t="s">
        <v>785</v>
      </c>
      <c r="B400" s="22" t="s">
        <v>786</v>
      </c>
      <c r="C400" s="22" t="s">
        <v>147</v>
      </c>
      <c r="D400" s="22" t="s">
        <v>139</v>
      </c>
      <c r="E400" s="22" t="s">
        <v>140</v>
      </c>
      <c r="F400" s="22" t="s">
        <v>136</v>
      </c>
      <c r="G400" s="22" t="s">
        <v>113</v>
      </c>
      <c r="H400" s="22" t="s">
        <v>114</v>
      </c>
      <c r="I400" s="23">
        <v>194511.44</v>
      </c>
      <c r="J400" s="23">
        <v>11.64</v>
      </c>
      <c r="K400" s="22">
        <v>36</v>
      </c>
      <c r="L400" s="22">
        <v>67</v>
      </c>
      <c r="M400" s="22" t="s">
        <v>131</v>
      </c>
    </row>
    <row r="401" spans="1:13" ht="16.5" customHeight="1" x14ac:dyDescent="0.45">
      <c r="A401" s="20" t="s">
        <v>787</v>
      </c>
      <c r="B401" s="20" t="s">
        <v>621</v>
      </c>
      <c r="C401" s="20" t="s">
        <v>144</v>
      </c>
      <c r="D401" s="20" t="s">
        <v>139</v>
      </c>
      <c r="E401" s="20" t="s">
        <v>140</v>
      </c>
      <c r="F401" s="20" t="s">
        <v>125</v>
      </c>
      <c r="G401" s="20" t="s">
        <v>113</v>
      </c>
      <c r="H401" s="20" t="s">
        <v>114</v>
      </c>
      <c r="I401" s="21">
        <v>140827.5</v>
      </c>
      <c r="J401" s="21">
        <v>13.11</v>
      </c>
      <c r="K401" s="20">
        <v>180</v>
      </c>
      <c r="L401" s="20">
        <v>64</v>
      </c>
      <c r="M401" s="20" t="s">
        <v>131</v>
      </c>
    </row>
    <row r="402" spans="1:13" ht="16.5" customHeight="1" x14ac:dyDescent="0.45">
      <c r="A402" s="22" t="s">
        <v>788</v>
      </c>
      <c r="B402" s="22" t="s">
        <v>789</v>
      </c>
      <c r="C402" s="22" t="s">
        <v>229</v>
      </c>
      <c r="D402" s="22" t="s">
        <v>134</v>
      </c>
      <c r="E402" s="22" t="s">
        <v>135</v>
      </c>
      <c r="F402" s="22" t="s">
        <v>119</v>
      </c>
      <c r="G402" s="22" t="s">
        <v>113</v>
      </c>
      <c r="H402" s="22" t="s">
        <v>121</v>
      </c>
      <c r="I402" s="23">
        <v>45852.51</v>
      </c>
      <c r="J402" s="23">
        <v>4.72</v>
      </c>
      <c r="K402" s="22">
        <v>6</v>
      </c>
      <c r="L402" s="22">
        <v>74</v>
      </c>
      <c r="M402" s="22" t="s">
        <v>115</v>
      </c>
    </row>
    <row r="403" spans="1:13" ht="13.5" customHeight="1" x14ac:dyDescent="0.45">
      <c r="A403" s="10" t="s">
        <v>790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</row>
    <row r="404" spans="1:13" ht="13.5" customHeight="1" x14ac:dyDescent="0.4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</row>
    <row r="405" spans="1:13" ht="13.5" customHeight="1" x14ac:dyDescent="0.4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</row>
    <row r="406" spans="1:13" ht="13.5" customHeight="1" x14ac:dyDescent="0.4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</row>
    <row r="407" spans="1:13" ht="13.5" customHeight="1" x14ac:dyDescent="0.4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</row>
    <row r="408" spans="1:13" ht="13.5" customHeight="1" x14ac:dyDescent="0.4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</row>
  </sheetData>
  <autoFilter ref="A2:M402" xr:uid="{00000000-0009-0000-0000-000001000000}"/>
  <mergeCells count="2">
    <mergeCell ref="A1:M1"/>
    <mergeCell ref="A403:M40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8"/>
  <sheetViews>
    <sheetView zoomScaleNormal="100" workbookViewId="0">
      <pane ySplit="2" topLeftCell="A3" activePane="bottomLeft" state="frozen"/>
      <selection pane="bottomLeft" sqref="A1:Q1"/>
    </sheetView>
  </sheetViews>
  <sheetFormatPr defaultColWidth="8.6640625" defaultRowHeight="14.25" x14ac:dyDescent="0.45"/>
  <cols>
    <col min="1" max="1" width="16" customWidth="1"/>
    <col min="2" max="2" width="13" customWidth="1"/>
    <col min="3" max="4" width="10" customWidth="1"/>
    <col min="5" max="5" width="7" customWidth="1"/>
    <col min="6" max="6" width="13" customWidth="1"/>
    <col min="7" max="7" width="20" customWidth="1"/>
    <col min="8" max="8" width="12" customWidth="1"/>
    <col min="9" max="9" width="22" customWidth="1"/>
    <col min="10" max="11" width="11" customWidth="1"/>
    <col min="12" max="12" width="14" customWidth="1"/>
    <col min="13" max="13" width="16" customWidth="1"/>
    <col min="14" max="14" width="15" customWidth="1"/>
    <col min="15" max="15" width="18" customWidth="1"/>
    <col min="16" max="16" width="14" customWidth="1"/>
    <col min="17" max="17" width="18" customWidth="1"/>
  </cols>
  <sheetData>
    <row r="1" spans="1:17" ht="36" customHeight="1" x14ac:dyDescent="0.45">
      <c r="A1" s="9" t="s">
        <v>791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7.75" customHeight="1" x14ac:dyDescent="0.45">
      <c r="A2" s="24" t="s">
        <v>94</v>
      </c>
      <c r="B2" s="24" t="s">
        <v>95</v>
      </c>
      <c r="C2" s="24" t="s">
        <v>792</v>
      </c>
      <c r="D2" s="24" t="s">
        <v>793</v>
      </c>
      <c r="E2" s="24" t="s">
        <v>794</v>
      </c>
      <c r="F2" s="24" t="s">
        <v>96</v>
      </c>
      <c r="G2" s="24" t="s">
        <v>97</v>
      </c>
      <c r="H2" s="24" t="s">
        <v>98</v>
      </c>
      <c r="I2" s="24" t="s">
        <v>99</v>
      </c>
      <c r="J2" s="24" t="s">
        <v>100</v>
      </c>
      <c r="K2" s="24" t="s">
        <v>101</v>
      </c>
      <c r="L2" s="24" t="s">
        <v>102</v>
      </c>
      <c r="M2" s="24" t="s">
        <v>103</v>
      </c>
      <c r="N2" s="24" t="s">
        <v>104</v>
      </c>
      <c r="O2" s="24" t="s">
        <v>795</v>
      </c>
      <c r="P2" s="24" t="s">
        <v>105</v>
      </c>
      <c r="Q2" s="24" t="s">
        <v>106</v>
      </c>
    </row>
    <row r="3" spans="1:17" ht="16.5" customHeight="1" x14ac:dyDescent="0.45">
      <c r="A3" s="25" t="str">
        <f>'1. Raw Data'!A3</f>
        <v>TXN-100001</v>
      </c>
      <c r="B3" s="26">
        <f>IFERROR(DATEVALUE('1. Raw Data'!B3),"")</f>
        <v>45390</v>
      </c>
      <c r="C3" s="27" t="str">
        <f t="shared" ref="C3:C66" si="0">IFERROR(TEXT(B3,"mmm"),"")</f>
        <v>Apr</v>
      </c>
      <c r="D3" s="27" t="str">
        <f t="shared" ref="D3:D66" si="1">IFERROR("Q"&amp;INT((MONTH(B3)-1)/3+1),"")</f>
        <v>Q2</v>
      </c>
      <c r="E3" s="28">
        <f t="shared" ref="E3:E66" si="2">IFERROR(YEAR(B3),"")</f>
        <v>2024</v>
      </c>
      <c r="F3" s="25" t="str">
        <f>PROPER(TRIM('1. Raw Data'!C3))</f>
        <v>Eastgate</v>
      </c>
      <c r="G3" s="25" t="str">
        <f>TRIM('1. Raw Data'!D3)</f>
        <v>Business Loan</v>
      </c>
      <c r="H3" s="25" t="str">
        <f>TRIM('1. Raw Data'!E3)</f>
        <v>Loans</v>
      </c>
      <c r="I3" s="25" t="str">
        <f>TRIM('1. Raw Data'!F3)</f>
        <v>James Patel</v>
      </c>
      <c r="J3" s="27" t="str">
        <f>PROPER(TRIM('1. Raw Data'!G3))</f>
        <v>Active</v>
      </c>
      <c r="K3" s="27" t="str">
        <f>TRIM('1. Raw Data'!H3)</f>
        <v>Low</v>
      </c>
      <c r="L3" s="29">
        <f>IFERROR(IF('1. Raw Data'!I3="",AVERAGE(IF('1. Raw Data'!I3:I402&lt;&gt;"",'1. Raw Data'!I3:I402)),VALUE('1. Raw Data'!I3)),0)</f>
        <v>33744.480000000003</v>
      </c>
      <c r="M3" s="30">
        <f>IFERROR(IF('1. Raw Data'!J3="",AVERAGE(IF('1. Raw Data'!J3:J402&lt;&gt;"",'1. Raw Data'!J3:J402)),VALUE('1. Raw Data'!J3)),0)</f>
        <v>3.5</v>
      </c>
      <c r="N3" s="28">
        <f>'1. Raw Data'!K3</f>
        <v>120</v>
      </c>
      <c r="O3" s="29">
        <f t="shared" ref="O3:O66" si="3">IFERROR(IF(M3=0,0,(L3*(M3/100/12))/(1-(1+M3/100/12)^(-N3))),0)</f>
        <v>333.68521768508543</v>
      </c>
      <c r="P3" s="28">
        <f>'1. Raw Data'!L3</f>
        <v>55</v>
      </c>
      <c r="Q3" s="27" t="str">
        <f>TRIM('1. Raw Data'!M3)</f>
        <v>Standard</v>
      </c>
    </row>
    <row r="4" spans="1:17" ht="16.5" customHeight="1" x14ac:dyDescent="0.45">
      <c r="A4" s="31" t="str">
        <f>'1. Raw Data'!A4</f>
        <v>TXN-100002</v>
      </c>
      <c r="B4" s="32">
        <f>IFERROR(DATEVALUE('1. Raw Data'!B4),"")</f>
        <v>45603</v>
      </c>
      <c r="C4" s="33" t="str">
        <f t="shared" si="0"/>
        <v>Nov</v>
      </c>
      <c r="D4" s="33" t="str">
        <f t="shared" si="1"/>
        <v>Q4</v>
      </c>
      <c r="E4" s="34">
        <f t="shared" si="2"/>
        <v>2024</v>
      </c>
      <c r="F4" s="31" t="str">
        <f>PROPER(TRIM('1. Raw Data'!C4))</f>
        <v>Eastgate</v>
      </c>
      <c r="G4" s="31" t="str">
        <f>TRIM('1. Raw Data'!D4)</f>
        <v>Mortgage</v>
      </c>
      <c r="H4" s="31" t="str">
        <f>TRIM('1. Raw Data'!E4)</f>
        <v>Loans</v>
      </c>
      <c r="I4" s="31" t="str">
        <f>TRIM('1. Raw Data'!F4)</f>
        <v>Maria Lopez</v>
      </c>
      <c r="J4" s="33" t="str">
        <f>PROPER(TRIM('1. Raw Data'!G4))</f>
        <v>Pending</v>
      </c>
      <c r="K4" s="33" t="str">
        <f>TRIM('1. Raw Data'!H4)</f>
        <v>Medium</v>
      </c>
      <c r="L4" s="35">
        <f>IFERROR(IF('1. Raw Data'!I4="",AVERAGE(IF('1. Raw Data'!I3:I402&lt;&gt;"",'1. Raw Data'!I3:I402)),VALUE('1. Raw Data'!I4)),0)</f>
        <v>38493</v>
      </c>
      <c r="M4" s="36">
        <f>IFERROR(IF('1. Raw Data'!J4="",AVERAGE(IF('1. Raw Data'!J3:J402&lt;&gt;"",'1. Raw Data'!J3:J402)),VALUE('1. Raw Data'!J4)),0)</f>
        <v>10.1</v>
      </c>
      <c r="N4" s="34">
        <f>'1. Raw Data'!K4</f>
        <v>360</v>
      </c>
      <c r="O4" s="35">
        <f t="shared" si="3"/>
        <v>340.65157714344303</v>
      </c>
      <c r="P4" s="34">
        <f>'1. Raw Data'!L4</f>
        <v>43</v>
      </c>
      <c r="Q4" s="33" t="str">
        <f>TRIM('1. Raw Data'!M4)</f>
        <v>Standard</v>
      </c>
    </row>
    <row r="5" spans="1:17" ht="16.5" customHeight="1" x14ac:dyDescent="0.45">
      <c r="A5" s="25" t="str">
        <f>'1. Raw Data'!A5</f>
        <v>TXN-100003</v>
      </c>
      <c r="B5" s="26">
        <f>IFERROR(DATEVALUE('1. Raw Data'!B5),"")</f>
        <v>45305</v>
      </c>
      <c r="C5" s="27" t="str">
        <f t="shared" si="0"/>
        <v>Jan</v>
      </c>
      <c r="D5" s="27" t="str">
        <f t="shared" si="1"/>
        <v>Q1</v>
      </c>
      <c r="E5" s="28">
        <f t="shared" si="2"/>
        <v>2024</v>
      </c>
      <c r="F5" s="25" t="str">
        <f>PROPER(TRIM('1. Raw Data'!C5))</f>
        <v>Westside</v>
      </c>
      <c r="G5" s="25" t="str">
        <f>TRIM('1. Raw Data'!D5)</f>
        <v>Business Loan</v>
      </c>
      <c r="H5" s="25" t="str">
        <f>TRIM('1. Raw Data'!E5)</f>
        <v>Loans</v>
      </c>
      <c r="I5" s="25" t="str">
        <f>TRIM('1. Raw Data'!F5)</f>
        <v>Sarah Chen</v>
      </c>
      <c r="J5" s="27" t="str">
        <f>PROPER(TRIM('1. Raw Data'!G5))</f>
        <v>Active</v>
      </c>
      <c r="K5" s="27" t="str">
        <f>TRIM('1. Raw Data'!H5)</f>
        <v>High</v>
      </c>
      <c r="L5" s="29">
        <f>IFERROR(IF('1. Raw Data'!I5="",AVERAGE(IF('1. Raw Data'!I3:I402&lt;&gt;"",'1. Raw Data'!I3:I402)),VALUE('1. Raw Data'!I5)),0)</f>
        <v>51339.22</v>
      </c>
      <c r="M5" s="30">
        <f>IFERROR(IF('1. Raw Data'!J5="",AVERAGE(IF('1. Raw Data'!J3:J402&lt;&gt;"",'1. Raw Data'!J3:J402)),VALUE('1. Raw Data'!J5)),0)</f>
        <v>13.88</v>
      </c>
      <c r="N5" s="28">
        <f>'1. Raw Data'!K5</f>
        <v>240</v>
      </c>
      <c r="O5" s="29">
        <f t="shared" si="3"/>
        <v>633.94436842517212</v>
      </c>
      <c r="P5" s="28">
        <f>'1. Raw Data'!L5</f>
        <v>27</v>
      </c>
      <c r="Q5" s="27" t="str">
        <f>TRIM('1. Raw Data'!M5)</f>
        <v>Standard</v>
      </c>
    </row>
    <row r="6" spans="1:17" ht="16.5" customHeight="1" x14ac:dyDescent="0.45">
      <c r="A6" s="31" t="str">
        <f>'1. Raw Data'!A6</f>
        <v>TXN-100004</v>
      </c>
      <c r="B6" s="32">
        <f>IFERROR(DATEVALUE('1. Raw Data'!B6),"")</f>
        <v>45652</v>
      </c>
      <c r="C6" s="33" t="str">
        <f t="shared" si="0"/>
        <v>Dec</v>
      </c>
      <c r="D6" s="33" t="str">
        <f t="shared" si="1"/>
        <v>Q4</v>
      </c>
      <c r="E6" s="34">
        <f t="shared" si="2"/>
        <v>2024</v>
      </c>
      <c r="F6" s="31" t="str">
        <f>PROPER(TRIM('1. Raw Data'!C6))</f>
        <v>Westside</v>
      </c>
      <c r="G6" s="31" t="str">
        <f>TRIM('1. Raw Data'!D6)</f>
        <v>Personal Loan</v>
      </c>
      <c r="H6" s="31" t="str">
        <f>TRIM('1. Raw Data'!E6)</f>
        <v>Loans</v>
      </c>
      <c r="I6" s="31" t="str">
        <f>TRIM('1. Raw Data'!F6)</f>
        <v>James Patel</v>
      </c>
      <c r="J6" s="33" t="str">
        <f>PROPER(TRIM('1. Raw Data'!G6))</f>
        <v>Inactive</v>
      </c>
      <c r="K6" s="33" t="str">
        <f>TRIM('1. Raw Data'!H6)</f>
        <v>Low</v>
      </c>
      <c r="L6" s="35">
        <f>IFERROR(IF('1. Raw Data'!I6="",AVERAGE(IF('1. Raw Data'!I3:I402&lt;&gt;"",'1. Raw Data'!I3:I402)),VALUE('1. Raw Data'!I6)),0)</f>
        <v>0</v>
      </c>
      <c r="M6" s="36">
        <f>IFERROR(IF('1. Raw Data'!J6="",AVERAGE(IF('1. Raw Data'!J3:J402&lt;&gt;"",'1. Raw Data'!J3:J402)),VALUE('1. Raw Data'!J6)),0)</f>
        <v>13.14</v>
      </c>
      <c r="N6" s="34">
        <f>'1. Raw Data'!K6</f>
        <v>24</v>
      </c>
      <c r="O6" s="35">
        <f t="shared" si="3"/>
        <v>0</v>
      </c>
      <c r="P6" s="34">
        <f>'1. Raw Data'!L6</f>
        <v>54</v>
      </c>
      <c r="Q6" s="33" t="str">
        <f>TRIM('1. Raw Data'!M6)</f>
        <v>Premium</v>
      </c>
    </row>
    <row r="7" spans="1:17" ht="16.5" customHeight="1" x14ac:dyDescent="0.45">
      <c r="A7" s="25" t="str">
        <f>'1. Raw Data'!A7</f>
        <v>TXN-100005</v>
      </c>
      <c r="B7" s="26">
        <f>IFERROR(DATEVALUE('1. Raw Data'!B7),"")</f>
        <v>45361</v>
      </c>
      <c r="C7" s="27" t="str">
        <f t="shared" si="0"/>
        <v>Mar</v>
      </c>
      <c r="D7" s="27" t="str">
        <f t="shared" si="1"/>
        <v>Q1</v>
      </c>
      <c r="E7" s="28">
        <f t="shared" si="2"/>
        <v>2024</v>
      </c>
      <c r="F7" s="25" t="str">
        <f>PROPER(TRIM('1. Raw Data'!C7))</f>
        <v>Eastgate</v>
      </c>
      <c r="G7" s="25" t="str">
        <f>TRIM('1. Raw Data'!D7)</f>
        <v>Savings Account</v>
      </c>
      <c r="H7" s="25" t="str">
        <f>TRIM('1. Raw Data'!E7)</f>
        <v>Deposits</v>
      </c>
      <c r="I7" s="25" t="str">
        <f>TRIM('1. Raw Data'!F7)</f>
        <v>David Kim</v>
      </c>
      <c r="J7" s="27" t="str">
        <f>PROPER(TRIM('1. Raw Data'!G7))</f>
        <v>Inactive</v>
      </c>
      <c r="K7" s="27" t="str">
        <f>TRIM('1. Raw Data'!H7)</f>
        <v>Low</v>
      </c>
      <c r="L7" s="29">
        <f>IFERROR(IF('1. Raw Data'!I7="",AVERAGE(IF('1. Raw Data'!I3:I402&lt;&gt;"",'1. Raw Data'!I3:I402)),VALUE('1. Raw Data'!I7)),0)</f>
        <v>154539.01999999999</v>
      </c>
      <c r="M7" s="30">
        <f>IFERROR(IF('1. Raw Data'!J7="",AVERAGE(IF('1. Raw Data'!J3:J402&lt;&gt;"",'1. Raw Data'!J3:J402)),VALUE('1. Raw Data'!J7)),0)</f>
        <v>6.88</v>
      </c>
      <c r="N7" s="28">
        <f>'1. Raw Data'!K7</f>
        <v>24</v>
      </c>
      <c r="O7" s="29">
        <f t="shared" si="3"/>
        <v>6910.7064776346442</v>
      </c>
      <c r="P7" s="28">
        <f>'1. Raw Data'!L7</f>
        <v>55</v>
      </c>
      <c r="Q7" s="27" t="str">
        <f>TRIM('1. Raw Data'!M7)</f>
        <v>Premium</v>
      </c>
    </row>
    <row r="8" spans="1:17" ht="16.5" customHeight="1" x14ac:dyDescent="0.45">
      <c r="A8" s="31" t="str">
        <f>'1. Raw Data'!A8</f>
        <v>TXN-100006</v>
      </c>
      <c r="B8" s="32">
        <f>IFERROR(DATEVALUE('1. Raw Data'!B8),"")</f>
        <v>45466</v>
      </c>
      <c r="C8" s="33" t="str">
        <f t="shared" si="0"/>
        <v>Jun</v>
      </c>
      <c r="D8" s="33" t="str">
        <f t="shared" si="1"/>
        <v>Q2</v>
      </c>
      <c r="E8" s="34">
        <f t="shared" si="2"/>
        <v>2024</v>
      </c>
      <c r="F8" s="31" t="str">
        <f>PROPER(TRIM('1. Raw Data'!C8))</f>
        <v>Eastgate</v>
      </c>
      <c r="G8" s="31" t="str">
        <f>TRIM('1. Raw Data'!D8)</f>
        <v>Credit Card</v>
      </c>
      <c r="H8" s="31" t="str">
        <f>TRIM('1. Raw Data'!E8)</f>
        <v>Cards</v>
      </c>
      <c r="I8" s="31" t="str">
        <f>TRIM('1. Raw Data'!F8)</f>
        <v>Rachel Moore</v>
      </c>
      <c r="J8" s="33" t="str">
        <f>PROPER(TRIM('1. Raw Data'!G8))</f>
        <v>Active</v>
      </c>
      <c r="K8" s="33" t="str">
        <f>TRIM('1. Raw Data'!H8)</f>
        <v>Low</v>
      </c>
      <c r="L8" s="35">
        <f>IFERROR(IF('1. Raw Data'!I8="",AVERAGE(IF('1. Raw Data'!I3:I402&lt;&gt;"",'1. Raw Data'!I3:I402)),VALUE('1. Raw Data'!I8)),0)</f>
        <v>119297.77</v>
      </c>
      <c r="M8" s="36">
        <f>IFERROR(IF('1. Raw Data'!J8="",AVERAGE(IF('1. Raw Data'!J3:J402&lt;&gt;"",'1. Raw Data'!J3:J402)),VALUE('1. Raw Data'!J8)),0)</f>
        <v>3.14</v>
      </c>
      <c r="N8" s="34">
        <f>'1. Raw Data'!K8</f>
        <v>360</v>
      </c>
      <c r="O8" s="35">
        <f t="shared" si="3"/>
        <v>512.01651514819469</v>
      </c>
      <c r="P8" s="34">
        <f>'1. Raw Data'!L8</f>
        <v>71</v>
      </c>
      <c r="Q8" s="33" t="str">
        <f>TRIM('1. Raw Data'!M8)</f>
        <v>Premium</v>
      </c>
    </row>
    <row r="9" spans="1:17" ht="16.5" customHeight="1" x14ac:dyDescent="0.45">
      <c r="A9" s="25" t="str">
        <f>'1. Raw Data'!A9</f>
        <v>TXN-100007</v>
      </c>
      <c r="B9" s="26">
        <f>IFERROR(DATEVALUE('1. Raw Data'!B9),"")</f>
        <v>45358</v>
      </c>
      <c r="C9" s="27" t="str">
        <f t="shared" si="0"/>
        <v>Mar</v>
      </c>
      <c r="D9" s="27" t="str">
        <f t="shared" si="1"/>
        <v>Q1</v>
      </c>
      <c r="E9" s="28">
        <f t="shared" si="2"/>
        <v>2024</v>
      </c>
      <c r="F9" s="25" t="str">
        <f>PROPER(TRIM('1. Raw Data'!C9))</f>
        <v>Uptown</v>
      </c>
      <c r="G9" s="25" t="str">
        <f>TRIM('1. Raw Data'!D9)</f>
        <v>Credit Card</v>
      </c>
      <c r="H9" s="25" t="str">
        <f>TRIM('1. Raw Data'!E9)</f>
        <v>Cards</v>
      </c>
      <c r="I9" s="25" t="str">
        <f>TRIM('1. Raw Data'!F9)</f>
        <v>James Patel</v>
      </c>
      <c r="J9" s="27" t="str">
        <f>PROPER(TRIM('1. Raw Data'!G9))</f>
        <v>Active</v>
      </c>
      <c r="K9" s="27" t="str">
        <f>TRIM('1. Raw Data'!H9)</f>
        <v>Medium</v>
      </c>
      <c r="L9" s="29">
        <f>IFERROR(IF('1. Raw Data'!I9="",AVERAGE(IF('1. Raw Data'!I3:I402&lt;&gt;"",'1. Raw Data'!I3:I402)),VALUE('1. Raw Data'!I9)),0)</f>
        <v>220167.46</v>
      </c>
      <c r="M9" s="30">
        <f>IFERROR(IF('1. Raw Data'!J9="",AVERAGE(IF('1. Raw Data'!J3:J402&lt;&gt;"",'1. Raw Data'!J3:J402)),VALUE('1. Raw Data'!J9)),0)</f>
        <v>6.17</v>
      </c>
      <c r="N9" s="28">
        <f>'1. Raw Data'!K9</f>
        <v>180</v>
      </c>
      <c r="O9" s="29">
        <f t="shared" si="3"/>
        <v>1878.1799202970685</v>
      </c>
      <c r="P9" s="28">
        <f>'1. Raw Data'!L9</f>
        <v>73</v>
      </c>
      <c r="Q9" s="27" t="str">
        <f>TRIM('1. Raw Data'!M9)</f>
        <v>Premium</v>
      </c>
    </row>
    <row r="10" spans="1:17" ht="16.5" customHeight="1" x14ac:dyDescent="0.45">
      <c r="A10" s="31" t="str">
        <f>'1. Raw Data'!A10</f>
        <v>TXN-100008</v>
      </c>
      <c r="B10" s="32">
        <f>IFERROR(DATEVALUE('1. Raw Data'!B10),"")</f>
        <v>45450</v>
      </c>
      <c r="C10" s="33" t="str">
        <f t="shared" si="0"/>
        <v>Jun</v>
      </c>
      <c r="D10" s="33" t="str">
        <f t="shared" si="1"/>
        <v>Q2</v>
      </c>
      <c r="E10" s="34">
        <f t="shared" si="2"/>
        <v>2024</v>
      </c>
      <c r="F10" s="31" t="str">
        <f>PROPER(TRIM('1. Raw Data'!C10))</f>
        <v>Downtown</v>
      </c>
      <c r="G10" s="31" t="str">
        <f>TRIM('1. Raw Data'!D10)</f>
        <v>Credit Card</v>
      </c>
      <c r="H10" s="31" t="str">
        <f>TRIM('1. Raw Data'!E10)</f>
        <v>Cards</v>
      </c>
      <c r="I10" s="31" t="str">
        <f>TRIM('1. Raw Data'!F10)</f>
        <v>Sarah Chen</v>
      </c>
      <c r="J10" s="33" t="str">
        <f>PROPER(TRIM('1. Raw Data'!G10))</f>
        <v>Active</v>
      </c>
      <c r="K10" s="33" t="str">
        <f>TRIM('1. Raw Data'!H10)</f>
        <v>Low</v>
      </c>
      <c r="L10" s="35">
        <f>IFERROR(IF('1. Raw Data'!I10="",AVERAGE(IF('1. Raw Data'!I3:I402&lt;&gt;"",'1. Raw Data'!I3:I402)),VALUE('1. Raw Data'!I10)),0)</f>
        <v>94555.08</v>
      </c>
      <c r="M10" s="36">
        <f>IFERROR(IF('1. Raw Data'!J10="",AVERAGE(IF('1. Raw Data'!J3:J402&lt;&gt;"",'1. Raw Data'!J3:J402)),VALUE('1. Raw Data'!J10)),0)</f>
        <v>6.37</v>
      </c>
      <c r="N10" s="34">
        <f>'1. Raw Data'!K10</f>
        <v>120</v>
      </c>
      <c r="O10" s="35">
        <f t="shared" si="3"/>
        <v>1067.4100507296653</v>
      </c>
      <c r="P10" s="34">
        <f>'1. Raw Data'!L10</f>
        <v>46</v>
      </c>
      <c r="Q10" s="33" t="str">
        <f>TRIM('1. Raw Data'!M10)</f>
        <v>Standard</v>
      </c>
    </row>
    <row r="11" spans="1:17" ht="16.5" customHeight="1" x14ac:dyDescent="0.45">
      <c r="A11" s="25" t="str">
        <f>'1. Raw Data'!A11</f>
        <v>TXN-100009</v>
      </c>
      <c r="B11" s="26">
        <f>IFERROR(DATEVALUE('1. Raw Data'!B11),"")</f>
        <v>45604</v>
      </c>
      <c r="C11" s="27" t="str">
        <f t="shared" si="0"/>
        <v>Nov</v>
      </c>
      <c r="D11" s="27" t="str">
        <f t="shared" si="1"/>
        <v>Q4</v>
      </c>
      <c r="E11" s="28">
        <f t="shared" si="2"/>
        <v>2024</v>
      </c>
      <c r="F11" s="25" t="str">
        <f>PROPER(TRIM('1. Raw Data'!C11))</f>
        <v>Westside</v>
      </c>
      <c r="G11" s="25" t="str">
        <f>TRIM('1. Raw Data'!D11)</f>
        <v>Business Loan</v>
      </c>
      <c r="H11" s="25" t="str">
        <f>TRIM('1. Raw Data'!E11)</f>
        <v>Loans</v>
      </c>
      <c r="I11" s="25" t="str">
        <f>TRIM('1. Raw Data'!F11)</f>
        <v>David Kim</v>
      </c>
      <c r="J11" s="27" t="str">
        <f>PROPER(TRIM('1. Raw Data'!G11))</f>
        <v>Active</v>
      </c>
      <c r="K11" s="27" t="str">
        <f>TRIM('1. Raw Data'!H11)</f>
        <v>Medium</v>
      </c>
      <c r="L11" s="29">
        <f>IFERROR(IF('1. Raw Data'!I11="",AVERAGE(IF('1. Raw Data'!I3:I402&lt;&gt;"",'1. Raw Data'!I3:I402)),VALUE('1. Raw Data'!I11)),0)</f>
        <v>163514.23000000001</v>
      </c>
      <c r="M11" s="30">
        <f>IFERROR(IF('1. Raw Data'!J11="",AVERAGE(IF('1. Raw Data'!J3:J402&lt;&gt;"",'1. Raw Data'!J3:J402)),VALUE('1. Raw Data'!J11)),0)</f>
        <v>6.07</v>
      </c>
      <c r="N11" s="28">
        <f>'1. Raw Data'!K11</f>
        <v>60</v>
      </c>
      <c r="O11" s="29">
        <f t="shared" si="3"/>
        <v>3166.5131336917107</v>
      </c>
      <c r="P11" s="28">
        <f>'1. Raw Data'!L11</f>
        <v>35</v>
      </c>
      <c r="Q11" s="27" t="str">
        <f>TRIM('1. Raw Data'!M11)</f>
        <v>Premium</v>
      </c>
    </row>
    <row r="12" spans="1:17" ht="16.5" customHeight="1" x14ac:dyDescent="0.45">
      <c r="A12" s="31" t="str">
        <f>'1. Raw Data'!A12</f>
        <v>TXN-100010</v>
      </c>
      <c r="B12" s="32">
        <f>IFERROR(DATEVALUE('1. Raw Data'!B12),"")</f>
        <v>45339</v>
      </c>
      <c r="C12" s="33" t="str">
        <f t="shared" si="0"/>
        <v>Feb</v>
      </c>
      <c r="D12" s="33" t="str">
        <f t="shared" si="1"/>
        <v>Q1</v>
      </c>
      <c r="E12" s="34">
        <f t="shared" si="2"/>
        <v>2024</v>
      </c>
      <c r="F12" s="31" t="str">
        <f>PROPER(TRIM('1. Raw Data'!C12))</f>
        <v>Eastgate</v>
      </c>
      <c r="G12" s="31" t="str">
        <f>TRIM('1. Raw Data'!D12)</f>
        <v>Savings Account</v>
      </c>
      <c r="H12" s="31" t="str">
        <f>TRIM('1. Raw Data'!E12)</f>
        <v>Deposits</v>
      </c>
      <c r="I12" s="31" t="str">
        <f>TRIM('1. Raw Data'!F12)</f>
        <v>David Kim</v>
      </c>
      <c r="J12" s="33" t="str">
        <f>PROPER(TRIM('1. Raw Data'!G12))</f>
        <v>Active</v>
      </c>
      <c r="K12" s="33" t="str">
        <f>TRIM('1. Raw Data'!H12)</f>
        <v>Medium</v>
      </c>
      <c r="L12" s="35">
        <f>IFERROR(IF('1. Raw Data'!I12="",AVERAGE(IF('1. Raw Data'!I3:I402&lt;&gt;"",'1. Raw Data'!I3:I402)),VALUE('1. Raw Data'!I12)),0)</f>
        <v>73610.929999999993</v>
      </c>
      <c r="M12" s="36">
        <f>IFERROR(IF('1. Raw Data'!J12="",AVERAGE(IF('1. Raw Data'!J3:J402&lt;&gt;"",'1. Raw Data'!J3:J402)),VALUE('1. Raw Data'!J12)),0)</f>
        <v>10.38</v>
      </c>
      <c r="N12" s="34">
        <f>'1. Raw Data'!K12</f>
        <v>60</v>
      </c>
      <c r="O12" s="35">
        <f t="shared" si="3"/>
        <v>1577.8136840671259</v>
      </c>
      <c r="P12" s="34">
        <f>'1. Raw Data'!L12</f>
        <v>72</v>
      </c>
      <c r="Q12" s="33" t="str">
        <f>TRIM('1. Raw Data'!M12)</f>
        <v>Standard</v>
      </c>
    </row>
    <row r="13" spans="1:17" ht="16.5" customHeight="1" x14ac:dyDescent="0.45">
      <c r="A13" s="25" t="str">
        <f>'1. Raw Data'!A13</f>
        <v>TXN-100011</v>
      </c>
      <c r="B13" s="26">
        <f>IFERROR(DATEVALUE('1. Raw Data'!B13),"")</f>
        <v>45495</v>
      </c>
      <c r="C13" s="27" t="str">
        <f t="shared" si="0"/>
        <v>Jul</v>
      </c>
      <c r="D13" s="27" t="str">
        <f t="shared" si="1"/>
        <v>Q3</v>
      </c>
      <c r="E13" s="28">
        <f t="shared" si="2"/>
        <v>2024</v>
      </c>
      <c r="F13" s="25" t="str">
        <f>PROPER(TRIM('1. Raw Data'!C13))</f>
        <v>Westside</v>
      </c>
      <c r="G13" s="25" t="str">
        <f>TRIM('1. Raw Data'!D13)</f>
        <v>Business Loan</v>
      </c>
      <c r="H13" s="25" t="str">
        <f>TRIM('1. Raw Data'!E13)</f>
        <v>Loans</v>
      </c>
      <c r="I13" s="25" t="str">
        <f>TRIM('1. Raw Data'!F13)</f>
        <v>Rachel Moore</v>
      </c>
      <c r="J13" s="27" t="str">
        <f>PROPER(TRIM('1. Raw Data'!G13))</f>
        <v>Active</v>
      </c>
      <c r="K13" s="27" t="str">
        <f>TRIM('1. Raw Data'!H13)</f>
        <v>Medium</v>
      </c>
      <c r="L13" s="29">
        <f>IFERROR(IF('1. Raw Data'!I13="",AVERAGE(IF('1. Raw Data'!I3:I402&lt;&gt;"",'1. Raw Data'!I3:I402)),VALUE('1. Raw Data'!I13)),0)</f>
        <v>169748.38</v>
      </c>
      <c r="M13" s="30">
        <f>IFERROR(IF('1. Raw Data'!J13="",AVERAGE(IF('1. Raw Data'!J3:J402&lt;&gt;"",'1. Raw Data'!J3:J402)),VALUE('1. Raw Data'!J13)),0)</f>
        <v>12.42</v>
      </c>
      <c r="N13" s="28">
        <f>'1. Raw Data'!K13</f>
        <v>360</v>
      </c>
      <c r="O13" s="29">
        <f t="shared" si="3"/>
        <v>1801.1218287339027</v>
      </c>
      <c r="P13" s="28">
        <f>'1. Raw Data'!L13</f>
        <v>64</v>
      </c>
      <c r="Q13" s="27" t="str">
        <f>TRIM('1. Raw Data'!M13)</f>
        <v>Premium</v>
      </c>
    </row>
    <row r="14" spans="1:17" ht="16.5" customHeight="1" x14ac:dyDescent="0.45">
      <c r="A14" s="31" t="str">
        <f>'1. Raw Data'!A14</f>
        <v>TXN-100012</v>
      </c>
      <c r="B14" s="32">
        <f>IFERROR(DATEVALUE('1. Raw Data'!B14),"")</f>
        <v>45618</v>
      </c>
      <c r="C14" s="33" t="str">
        <f t="shared" si="0"/>
        <v>Nov</v>
      </c>
      <c r="D14" s="33" t="str">
        <f t="shared" si="1"/>
        <v>Q4</v>
      </c>
      <c r="E14" s="34">
        <f t="shared" si="2"/>
        <v>2024</v>
      </c>
      <c r="F14" s="31" t="str">
        <f>PROPER(TRIM('1. Raw Data'!C14))</f>
        <v>Downtown</v>
      </c>
      <c r="G14" s="31" t="str">
        <f>TRIM('1. Raw Data'!D14)</f>
        <v>Auto Loan</v>
      </c>
      <c r="H14" s="31" t="str">
        <f>TRIM('1. Raw Data'!E14)</f>
        <v>Loans</v>
      </c>
      <c r="I14" s="31" t="str">
        <f>TRIM('1. Raw Data'!F14)</f>
        <v>Maria Lopez</v>
      </c>
      <c r="J14" s="33" t="str">
        <f>PROPER(TRIM('1. Raw Data'!G14))</f>
        <v>Pending</v>
      </c>
      <c r="K14" s="33" t="str">
        <f>TRIM('1. Raw Data'!H14)</f>
        <v>Low</v>
      </c>
      <c r="L14" s="35">
        <f>IFERROR(IF('1. Raw Data'!I14="",AVERAGE(IF('1. Raw Data'!I3:I402&lt;&gt;"",'1. Raw Data'!I3:I402)),VALUE('1. Raw Data'!I14)),0)</f>
        <v>43328.88</v>
      </c>
      <c r="M14" s="36">
        <f>IFERROR(IF('1. Raw Data'!J14="",AVERAGE(IF('1. Raw Data'!J3:J402&lt;&gt;"",'1. Raw Data'!J3:J402)),VALUE('1. Raw Data'!J14)),0)</f>
        <v>9.86</v>
      </c>
      <c r="N14" s="34">
        <f>'1. Raw Data'!K14</f>
        <v>120</v>
      </c>
      <c r="O14" s="35">
        <f t="shared" si="3"/>
        <v>569.24052689826613</v>
      </c>
      <c r="P14" s="34">
        <f>'1. Raw Data'!L14</f>
        <v>69</v>
      </c>
      <c r="Q14" s="33" t="str">
        <f>TRIM('1. Raw Data'!M14)</f>
        <v>Standard</v>
      </c>
    </row>
    <row r="15" spans="1:17" ht="16.5" customHeight="1" x14ac:dyDescent="0.45">
      <c r="A15" s="25" t="str">
        <f>'1. Raw Data'!A15</f>
        <v>TXN-100013</v>
      </c>
      <c r="B15" s="26">
        <f>IFERROR(DATEVALUE('1. Raw Data'!B15),"")</f>
        <v>45383</v>
      </c>
      <c r="C15" s="27" t="str">
        <f t="shared" si="0"/>
        <v>Apr</v>
      </c>
      <c r="D15" s="27" t="str">
        <f t="shared" si="1"/>
        <v>Q2</v>
      </c>
      <c r="E15" s="28">
        <f t="shared" si="2"/>
        <v>2024</v>
      </c>
      <c r="F15" s="25" t="str">
        <f>PROPER(TRIM('1. Raw Data'!C15))</f>
        <v>Eastgate</v>
      </c>
      <c r="G15" s="25" t="str">
        <f>TRIM('1. Raw Data'!D15)</f>
        <v>Checking Account</v>
      </c>
      <c r="H15" s="25" t="str">
        <f>TRIM('1. Raw Data'!E15)</f>
        <v>Deposits</v>
      </c>
      <c r="I15" s="25" t="str">
        <f>TRIM('1. Raw Data'!F15)</f>
        <v>Sarah Chen</v>
      </c>
      <c r="J15" s="27" t="str">
        <f>PROPER(TRIM('1. Raw Data'!G15))</f>
        <v>Active</v>
      </c>
      <c r="K15" s="27" t="str">
        <f>TRIM('1. Raw Data'!H15)</f>
        <v>High</v>
      </c>
      <c r="L15" s="29">
        <f>IFERROR(IF('1. Raw Data'!I15="",AVERAGE(IF('1. Raw Data'!I3:I402&lt;&gt;"",'1. Raw Data'!I3:I402)),VALUE('1. Raw Data'!I15)),0)</f>
        <v>130763.98</v>
      </c>
      <c r="M15" s="30">
        <f>IFERROR(IF('1. Raw Data'!J15="",AVERAGE(IF('1. Raw Data'!J3:J402&lt;&gt;"",'1. Raw Data'!J3:J402)),VALUE('1. Raw Data'!J15)),0)</f>
        <v>13.42</v>
      </c>
      <c r="N15" s="28">
        <f>'1. Raw Data'!K15</f>
        <v>24</v>
      </c>
      <c r="O15" s="29">
        <f t="shared" si="3"/>
        <v>6242.5858802043977</v>
      </c>
      <c r="P15" s="28">
        <f>'1. Raw Data'!L15</f>
        <v>54</v>
      </c>
      <c r="Q15" s="27" t="str">
        <f>TRIM('1. Raw Data'!M15)</f>
        <v>Premium</v>
      </c>
    </row>
    <row r="16" spans="1:17" ht="16.5" customHeight="1" x14ac:dyDescent="0.45">
      <c r="A16" s="31" t="str">
        <f>'1. Raw Data'!A16</f>
        <v>TXN-100014</v>
      </c>
      <c r="B16" s="32">
        <f>IFERROR(DATEVALUE('1. Raw Data'!B16),"")</f>
        <v>45623</v>
      </c>
      <c r="C16" s="33" t="str">
        <f t="shared" si="0"/>
        <v>Nov</v>
      </c>
      <c r="D16" s="33" t="str">
        <f t="shared" si="1"/>
        <v>Q4</v>
      </c>
      <c r="E16" s="34">
        <f t="shared" si="2"/>
        <v>2024</v>
      </c>
      <c r="F16" s="31" t="str">
        <f>PROPER(TRIM('1. Raw Data'!C16))</f>
        <v>Eastgate</v>
      </c>
      <c r="G16" s="31" t="str">
        <f>TRIM('1. Raw Data'!D16)</f>
        <v>Fixed Deposit</v>
      </c>
      <c r="H16" s="31" t="str">
        <f>TRIM('1. Raw Data'!E16)</f>
        <v>Deposits</v>
      </c>
      <c r="I16" s="31" t="str">
        <f>TRIM('1. Raw Data'!F16)</f>
        <v>Rachel Moore</v>
      </c>
      <c r="J16" s="33" t="str">
        <f>PROPER(TRIM('1. Raw Data'!G16))</f>
        <v>Active</v>
      </c>
      <c r="K16" s="33" t="str">
        <f>TRIM('1. Raw Data'!H16)</f>
        <v>High</v>
      </c>
      <c r="L16" s="35">
        <f>IFERROR(IF('1. Raw Data'!I16="",AVERAGE(IF('1. Raw Data'!I3:I402&lt;&gt;"",'1. Raw Data'!I3:I402)),VALUE('1. Raw Data'!I16)),0)</f>
        <v>191377.88</v>
      </c>
      <c r="M16" s="36">
        <f>IFERROR(IF('1. Raw Data'!J16="",AVERAGE(IF('1. Raw Data'!J3:J402&lt;&gt;"",'1. Raw Data'!J3:J402)),VALUE('1. Raw Data'!J16)),0)</f>
        <v>11.34</v>
      </c>
      <c r="N16" s="34">
        <f>'1. Raw Data'!K16</f>
        <v>36</v>
      </c>
      <c r="O16" s="35">
        <f t="shared" si="3"/>
        <v>6296.3252556594498</v>
      </c>
      <c r="P16" s="34">
        <f>'1. Raw Data'!L16</f>
        <v>69</v>
      </c>
      <c r="Q16" s="33" t="str">
        <f>TRIM('1. Raw Data'!M16)</f>
        <v>Premium</v>
      </c>
    </row>
    <row r="17" spans="1:17" ht="16.5" customHeight="1" x14ac:dyDescent="0.45">
      <c r="A17" s="25" t="str">
        <f>'1. Raw Data'!A17</f>
        <v>TXN-100015</v>
      </c>
      <c r="B17" s="26">
        <f>IFERROR(DATEVALUE('1. Raw Data'!B17),"")</f>
        <v>45619</v>
      </c>
      <c r="C17" s="27" t="str">
        <f t="shared" si="0"/>
        <v>Nov</v>
      </c>
      <c r="D17" s="27" t="str">
        <f t="shared" si="1"/>
        <v>Q4</v>
      </c>
      <c r="E17" s="28">
        <f t="shared" si="2"/>
        <v>2024</v>
      </c>
      <c r="F17" s="25" t="str">
        <f>PROPER(TRIM('1. Raw Data'!C17))</f>
        <v>Downtown</v>
      </c>
      <c r="G17" s="25" t="str">
        <f>TRIM('1. Raw Data'!D17)</f>
        <v>Business Loan</v>
      </c>
      <c r="H17" s="25" t="str">
        <f>TRIM('1. Raw Data'!E17)</f>
        <v>Loans</v>
      </c>
      <c r="I17" s="25" t="str">
        <f>TRIM('1. Raw Data'!F17)</f>
        <v>Maria Lopez</v>
      </c>
      <c r="J17" s="27" t="str">
        <f>PROPER(TRIM('1. Raw Data'!G17))</f>
        <v>Active</v>
      </c>
      <c r="K17" s="27" t="str">
        <f>TRIM('1. Raw Data'!H17)</f>
        <v>High</v>
      </c>
      <c r="L17" s="29">
        <f>IFERROR(IF('1. Raw Data'!I17="",AVERAGE(IF('1. Raw Data'!I3:I402&lt;&gt;"",'1. Raw Data'!I3:I402)),VALUE('1. Raw Data'!I17)),0)</f>
        <v>147208.82999999999</v>
      </c>
      <c r="M17" s="30">
        <f>IFERROR(IF('1. Raw Data'!J17="",AVERAGE(IF('1. Raw Data'!J3:J402&lt;&gt;"",'1. Raw Data'!J3:J402)),VALUE('1. Raw Data'!J17)),0)</f>
        <v>5.89</v>
      </c>
      <c r="N17" s="28">
        <f>'1. Raw Data'!K17</f>
        <v>12</v>
      </c>
      <c r="O17" s="29">
        <f t="shared" si="3"/>
        <v>12662.296822974602</v>
      </c>
      <c r="P17" s="28">
        <f>'1. Raw Data'!L17</f>
        <v>72</v>
      </c>
      <c r="Q17" s="27" t="str">
        <f>TRIM('1. Raw Data'!M17)</f>
        <v>Premium</v>
      </c>
    </row>
    <row r="18" spans="1:17" ht="16.5" customHeight="1" x14ac:dyDescent="0.45">
      <c r="A18" s="31" t="str">
        <f>'1. Raw Data'!A18</f>
        <v>TXN-100016</v>
      </c>
      <c r="B18" s="32">
        <f>IFERROR(DATEVALUE('1. Raw Data'!B18),"")</f>
        <v>45632</v>
      </c>
      <c r="C18" s="33" t="str">
        <f t="shared" si="0"/>
        <v>Dec</v>
      </c>
      <c r="D18" s="33" t="str">
        <f t="shared" si="1"/>
        <v>Q4</v>
      </c>
      <c r="E18" s="34">
        <f t="shared" si="2"/>
        <v>2024</v>
      </c>
      <c r="F18" s="31" t="str">
        <f>PROPER(TRIM('1. Raw Data'!C18))</f>
        <v>Uptown</v>
      </c>
      <c r="G18" s="31" t="str">
        <f>TRIM('1. Raw Data'!D18)</f>
        <v>Fixed Deposit</v>
      </c>
      <c r="H18" s="31" t="str">
        <f>TRIM('1. Raw Data'!E18)</f>
        <v>Deposits</v>
      </c>
      <c r="I18" s="31" t="str">
        <f>TRIM('1. Raw Data'!F18)</f>
        <v>David Kim</v>
      </c>
      <c r="J18" s="33" t="str">
        <f>PROPER(TRIM('1. Raw Data'!G18))</f>
        <v>Active</v>
      </c>
      <c r="K18" s="33" t="str">
        <f>TRIM('1. Raw Data'!H18)</f>
        <v>High</v>
      </c>
      <c r="L18" s="35">
        <f>IFERROR(IF('1. Raw Data'!I18="",AVERAGE(IF('1. Raw Data'!I3:I402&lt;&gt;"",'1. Raw Data'!I3:I402)),VALUE('1. Raw Data'!I18)),0)</f>
        <v>90279.87</v>
      </c>
      <c r="M18" s="36">
        <f>IFERROR(IF('1. Raw Data'!J18="",AVERAGE(IF('1. Raw Data'!J3:J402&lt;&gt;"",'1. Raw Data'!J3:J402)),VALUE('1. Raw Data'!J18)),0)</f>
        <v>4.8899999999999997</v>
      </c>
      <c r="N18" s="34">
        <f>'1. Raw Data'!K18</f>
        <v>180</v>
      </c>
      <c r="O18" s="35">
        <f t="shared" si="3"/>
        <v>708.76501034677108</v>
      </c>
      <c r="P18" s="34">
        <f>'1. Raw Data'!L18</f>
        <v>58</v>
      </c>
      <c r="Q18" s="33" t="str">
        <f>TRIM('1. Raw Data'!M18)</f>
        <v>Standard</v>
      </c>
    </row>
    <row r="19" spans="1:17" ht="16.5" customHeight="1" x14ac:dyDescent="0.45">
      <c r="A19" s="25" t="str">
        <f>'1. Raw Data'!A19</f>
        <v>TXN-100017</v>
      </c>
      <c r="B19" s="26">
        <f>IFERROR(DATEVALUE('1. Raw Data'!B19),"")</f>
        <v>45397</v>
      </c>
      <c r="C19" s="27" t="str">
        <f t="shared" si="0"/>
        <v>Apr</v>
      </c>
      <c r="D19" s="27" t="str">
        <f t="shared" si="1"/>
        <v>Q2</v>
      </c>
      <c r="E19" s="28">
        <f t="shared" si="2"/>
        <v>2024</v>
      </c>
      <c r="F19" s="25" t="str">
        <f>PROPER(TRIM('1. Raw Data'!C19))</f>
        <v>Eastgate</v>
      </c>
      <c r="G19" s="25" t="str">
        <f>TRIM('1. Raw Data'!D19)</f>
        <v>Fixed Deposit</v>
      </c>
      <c r="H19" s="25" t="str">
        <f>TRIM('1. Raw Data'!E19)</f>
        <v>Deposits</v>
      </c>
      <c r="I19" s="25" t="str">
        <f>TRIM('1. Raw Data'!F19)</f>
        <v>James Patel</v>
      </c>
      <c r="J19" s="27" t="str">
        <f>PROPER(TRIM('1. Raw Data'!G19))</f>
        <v>Active</v>
      </c>
      <c r="K19" s="27" t="str">
        <f>TRIM('1. Raw Data'!H19)</f>
        <v>High</v>
      </c>
      <c r="L19" s="29">
        <f>IFERROR(IF('1. Raw Data'!I19="",AVERAGE(IF('1. Raw Data'!I3:I402&lt;&gt;"",'1. Raw Data'!I3:I402)),VALUE('1. Raw Data'!I19)),0)</f>
        <v>131032.14</v>
      </c>
      <c r="M19" s="30">
        <f>IFERROR(IF('1. Raw Data'!J19="",AVERAGE(IF('1. Raw Data'!J3:J402&lt;&gt;"",'1. Raw Data'!J3:J402)),VALUE('1. Raw Data'!J19)),0)</f>
        <v>3.82</v>
      </c>
      <c r="N19" s="28">
        <f>'1. Raw Data'!K19</f>
        <v>180</v>
      </c>
      <c r="O19" s="29">
        <f t="shared" si="3"/>
        <v>957.45203511268699</v>
      </c>
      <c r="P19" s="28">
        <f>'1. Raw Data'!L19</f>
        <v>26</v>
      </c>
      <c r="Q19" s="27" t="str">
        <f>TRIM('1. Raw Data'!M19)</f>
        <v>Premium</v>
      </c>
    </row>
    <row r="20" spans="1:17" ht="16.5" customHeight="1" x14ac:dyDescent="0.45">
      <c r="A20" s="31" t="str">
        <f>'1. Raw Data'!A20</f>
        <v>TXN-100018</v>
      </c>
      <c r="B20" s="32">
        <f>IFERROR(DATEVALUE('1. Raw Data'!B20),"")</f>
        <v>45370</v>
      </c>
      <c r="C20" s="33" t="str">
        <f t="shared" si="0"/>
        <v>Mar</v>
      </c>
      <c r="D20" s="33" t="str">
        <f t="shared" si="1"/>
        <v>Q1</v>
      </c>
      <c r="E20" s="34">
        <f t="shared" si="2"/>
        <v>2024</v>
      </c>
      <c r="F20" s="31" t="str">
        <f>PROPER(TRIM('1. Raw Data'!C20))</f>
        <v>Downtown</v>
      </c>
      <c r="G20" s="31" t="str">
        <f>TRIM('1. Raw Data'!D20)</f>
        <v>Auto Loan</v>
      </c>
      <c r="H20" s="31" t="str">
        <f>TRIM('1. Raw Data'!E20)</f>
        <v>Loans</v>
      </c>
      <c r="I20" s="31" t="str">
        <f>TRIM('1. Raw Data'!F20)</f>
        <v>David Kim</v>
      </c>
      <c r="J20" s="33" t="str">
        <f>PROPER(TRIM('1. Raw Data'!G20))</f>
        <v>Active</v>
      </c>
      <c r="K20" s="33" t="str">
        <f>TRIM('1. Raw Data'!H20)</f>
        <v>Low</v>
      </c>
      <c r="L20" s="35">
        <f>IFERROR(IF('1. Raw Data'!I20="",AVERAGE(IF('1. Raw Data'!I3:I402&lt;&gt;"",'1. Raw Data'!I3:I402)),VALUE('1. Raw Data'!I20)),0)</f>
        <v>230038.56</v>
      </c>
      <c r="M20" s="36">
        <f>IFERROR(IF('1. Raw Data'!J20="",AVERAGE(IF('1. Raw Data'!J3:J402&lt;&gt;"",'1. Raw Data'!J3:J402)),VALUE('1. Raw Data'!J20)),0)</f>
        <v>7.07</v>
      </c>
      <c r="N20" s="34">
        <f>'1. Raw Data'!K20</f>
        <v>6</v>
      </c>
      <c r="O20" s="35">
        <f t="shared" si="3"/>
        <v>39134.22794435887</v>
      </c>
      <c r="P20" s="34">
        <f>'1. Raw Data'!L20</f>
        <v>43</v>
      </c>
      <c r="Q20" s="33" t="str">
        <f>TRIM('1. Raw Data'!M20)</f>
        <v>Premium</v>
      </c>
    </row>
    <row r="21" spans="1:17" ht="16.5" customHeight="1" x14ac:dyDescent="0.45">
      <c r="A21" s="25" t="str">
        <f>'1. Raw Data'!A21</f>
        <v>TXN-100019</v>
      </c>
      <c r="B21" s="26">
        <f>IFERROR(DATEVALUE('1. Raw Data'!B21),"")</f>
        <v>45338</v>
      </c>
      <c r="C21" s="27" t="str">
        <f t="shared" si="0"/>
        <v>Feb</v>
      </c>
      <c r="D21" s="27" t="str">
        <f t="shared" si="1"/>
        <v>Q1</v>
      </c>
      <c r="E21" s="28">
        <f t="shared" si="2"/>
        <v>2024</v>
      </c>
      <c r="F21" s="25" t="str">
        <f>PROPER(TRIM('1. Raw Data'!C21))</f>
        <v>Downtown</v>
      </c>
      <c r="G21" s="25" t="str">
        <f>TRIM('1. Raw Data'!D21)</f>
        <v>Business Loan</v>
      </c>
      <c r="H21" s="25" t="str">
        <f>TRIM('1. Raw Data'!E21)</f>
        <v>Loans</v>
      </c>
      <c r="I21" s="25" t="str">
        <f>TRIM('1. Raw Data'!F21)</f>
        <v>James Patel</v>
      </c>
      <c r="J21" s="27" t="str">
        <f>PROPER(TRIM('1. Raw Data'!G21))</f>
        <v>Pending</v>
      </c>
      <c r="K21" s="27" t="str">
        <f>TRIM('1. Raw Data'!H21)</f>
        <v>Low</v>
      </c>
      <c r="L21" s="29">
        <f>IFERROR(IF('1. Raw Data'!I21="",AVERAGE(IF('1. Raw Data'!I3:I402&lt;&gt;"",'1. Raw Data'!I3:I402)),VALUE('1. Raw Data'!I21)),0)</f>
        <v>43373.31</v>
      </c>
      <c r="M21" s="30">
        <f>IFERROR(IF('1. Raw Data'!J21="",AVERAGE(IF('1. Raw Data'!J3:J402&lt;&gt;"",'1. Raw Data'!J3:J402)),VALUE('1. Raw Data'!J21)),0)</f>
        <v>5.67</v>
      </c>
      <c r="N21" s="28">
        <f>'1. Raw Data'!K21</f>
        <v>60</v>
      </c>
      <c r="O21" s="29">
        <f t="shared" si="3"/>
        <v>831.88827825711087</v>
      </c>
      <c r="P21" s="28">
        <f>'1. Raw Data'!L21</f>
        <v>26</v>
      </c>
      <c r="Q21" s="27" t="str">
        <f>TRIM('1. Raw Data'!M21)</f>
        <v>Standard</v>
      </c>
    </row>
    <row r="22" spans="1:17" ht="16.5" customHeight="1" x14ac:dyDescent="0.45">
      <c r="A22" s="31" t="str">
        <f>'1. Raw Data'!A22</f>
        <v>TXN-100020</v>
      </c>
      <c r="B22" s="32">
        <f>IFERROR(DATEVALUE('1. Raw Data'!B22),"")</f>
        <v>45356</v>
      </c>
      <c r="C22" s="33" t="str">
        <f t="shared" si="0"/>
        <v>Mar</v>
      </c>
      <c r="D22" s="33" t="str">
        <f t="shared" si="1"/>
        <v>Q1</v>
      </c>
      <c r="E22" s="34">
        <f t="shared" si="2"/>
        <v>2024</v>
      </c>
      <c r="F22" s="31" t="str">
        <f>PROPER(TRIM('1. Raw Data'!C22))</f>
        <v>Northpark</v>
      </c>
      <c r="G22" s="31" t="str">
        <f>TRIM('1. Raw Data'!D22)</f>
        <v>Savings Account</v>
      </c>
      <c r="H22" s="31" t="str">
        <f>TRIM('1. Raw Data'!E22)</f>
        <v>Deposits</v>
      </c>
      <c r="I22" s="31" t="str">
        <f>TRIM('1. Raw Data'!F22)</f>
        <v>Sarah Chen</v>
      </c>
      <c r="J22" s="33" t="str">
        <f>PROPER(TRIM('1. Raw Data'!G22))</f>
        <v>Inactive</v>
      </c>
      <c r="K22" s="33" t="str">
        <f>TRIM('1. Raw Data'!H22)</f>
        <v>Low</v>
      </c>
      <c r="L22" s="35">
        <f>IFERROR(IF('1. Raw Data'!I22="",AVERAGE(IF('1. Raw Data'!I3:I402&lt;&gt;"",'1. Raw Data'!I3:I402)),VALUE('1. Raw Data'!I22)),0)</f>
        <v>136558.12</v>
      </c>
      <c r="M22" s="36">
        <f>IFERROR(IF('1. Raw Data'!J22="",AVERAGE(IF('1. Raw Data'!J3:J402&lt;&gt;"",'1. Raw Data'!J3:J402)),VALUE('1. Raw Data'!J22)),0)</f>
        <v>2.88</v>
      </c>
      <c r="N22" s="34">
        <f>'1. Raw Data'!K22</f>
        <v>240</v>
      </c>
      <c r="O22" s="35">
        <f t="shared" si="3"/>
        <v>749.17107711639267</v>
      </c>
      <c r="P22" s="34">
        <f>'1. Raw Data'!L22</f>
        <v>63</v>
      </c>
      <c r="Q22" s="33" t="str">
        <f>TRIM('1. Raw Data'!M22)</f>
        <v>Premium</v>
      </c>
    </row>
    <row r="23" spans="1:17" ht="16.5" customHeight="1" x14ac:dyDescent="0.45">
      <c r="A23" s="25" t="str">
        <f>'1. Raw Data'!A23</f>
        <v>TXN-100021</v>
      </c>
      <c r="B23" s="26">
        <f>IFERROR(DATEVALUE('1. Raw Data'!B23),"")</f>
        <v>45469</v>
      </c>
      <c r="C23" s="27" t="str">
        <f t="shared" si="0"/>
        <v>Jun</v>
      </c>
      <c r="D23" s="27" t="str">
        <f t="shared" si="1"/>
        <v>Q2</v>
      </c>
      <c r="E23" s="28">
        <f t="shared" si="2"/>
        <v>2024</v>
      </c>
      <c r="F23" s="25" t="str">
        <f>PROPER(TRIM('1. Raw Data'!C23))</f>
        <v>Northpark</v>
      </c>
      <c r="G23" s="25" t="str">
        <f>TRIM('1. Raw Data'!D23)</f>
        <v>Personal Loan</v>
      </c>
      <c r="H23" s="25" t="str">
        <f>TRIM('1. Raw Data'!E23)</f>
        <v>Loans</v>
      </c>
      <c r="I23" s="25" t="str">
        <f>TRIM('1. Raw Data'!F23)</f>
        <v>Maria Lopez</v>
      </c>
      <c r="J23" s="27" t="str">
        <f>PROPER(TRIM('1. Raw Data'!G23))</f>
        <v>Pending</v>
      </c>
      <c r="K23" s="27" t="str">
        <f>TRIM('1. Raw Data'!H23)</f>
        <v>Low</v>
      </c>
      <c r="L23" s="29">
        <f>IFERROR(IF('1. Raw Data'!I23="",AVERAGE(IF('1. Raw Data'!I3:I402&lt;&gt;"",'1. Raw Data'!I3:I402)),VALUE('1. Raw Data'!I23)),0)</f>
        <v>156452.99</v>
      </c>
      <c r="M23" s="30">
        <f>IFERROR(IF('1. Raw Data'!J23="",AVERAGE(IF('1. Raw Data'!J3:J402&lt;&gt;"",'1. Raw Data'!J3:J402)),VALUE('1. Raw Data'!J23)),0)</f>
        <v>4.66</v>
      </c>
      <c r="N23" s="28">
        <f>'1. Raw Data'!K23</f>
        <v>24</v>
      </c>
      <c r="O23" s="29">
        <f t="shared" si="3"/>
        <v>6840.0123356216554</v>
      </c>
      <c r="P23" s="28">
        <f>'1. Raw Data'!L23</f>
        <v>69</v>
      </c>
      <c r="Q23" s="27" t="str">
        <f>TRIM('1. Raw Data'!M23)</f>
        <v>Premium</v>
      </c>
    </row>
    <row r="24" spans="1:17" ht="16.5" customHeight="1" x14ac:dyDescent="0.45">
      <c r="A24" s="31" t="str">
        <f>'1. Raw Data'!A24</f>
        <v>TXN-100022</v>
      </c>
      <c r="B24" s="32">
        <f>IFERROR(DATEVALUE('1. Raw Data'!B24),"")</f>
        <v>45401</v>
      </c>
      <c r="C24" s="33" t="str">
        <f t="shared" si="0"/>
        <v>Apr</v>
      </c>
      <c r="D24" s="33" t="str">
        <f t="shared" si="1"/>
        <v>Q2</v>
      </c>
      <c r="E24" s="34">
        <f t="shared" si="2"/>
        <v>2024</v>
      </c>
      <c r="F24" s="31" t="str">
        <f>PROPER(TRIM('1. Raw Data'!C24))</f>
        <v>Downtown</v>
      </c>
      <c r="G24" s="31" t="str">
        <f>TRIM('1. Raw Data'!D24)</f>
        <v>Mortgage</v>
      </c>
      <c r="H24" s="31" t="str">
        <f>TRIM('1. Raw Data'!E24)</f>
        <v>Loans</v>
      </c>
      <c r="I24" s="31" t="str">
        <f>TRIM('1. Raw Data'!F24)</f>
        <v>David Kim</v>
      </c>
      <c r="J24" s="33" t="str">
        <f>PROPER(TRIM('1. Raw Data'!G24))</f>
        <v>Inactive</v>
      </c>
      <c r="K24" s="33" t="str">
        <f>TRIM('1. Raw Data'!H24)</f>
        <v>Low</v>
      </c>
      <c r="L24" s="35">
        <f>IFERROR(IF('1. Raw Data'!I24="",AVERAGE(IF('1. Raw Data'!I3:I402&lt;&gt;"",'1. Raw Data'!I3:I402)),VALUE('1. Raw Data'!I24)),0)</f>
        <v>111240.32000000001</v>
      </c>
      <c r="M24" s="36">
        <f>IFERROR(IF('1. Raw Data'!J24="",AVERAGE(IF('1. Raw Data'!J3:J402&lt;&gt;"",'1. Raw Data'!J3:J402)),VALUE('1. Raw Data'!J24)),0)</f>
        <v>11.62</v>
      </c>
      <c r="N24" s="34">
        <f>'1. Raw Data'!K24</f>
        <v>12</v>
      </c>
      <c r="O24" s="35">
        <f t="shared" si="3"/>
        <v>9863.8036824058363</v>
      </c>
      <c r="P24" s="34">
        <f>'1. Raw Data'!L24</f>
        <v>74</v>
      </c>
      <c r="Q24" s="33" t="str">
        <f>TRIM('1. Raw Data'!M24)</f>
        <v>Premium</v>
      </c>
    </row>
    <row r="25" spans="1:17" ht="16.5" customHeight="1" x14ac:dyDescent="0.45">
      <c r="A25" s="25" t="str">
        <f>'1. Raw Data'!A25</f>
        <v>TXN-100023</v>
      </c>
      <c r="B25" s="26">
        <f>IFERROR(DATEVALUE('1. Raw Data'!B25),"")</f>
        <v>45474</v>
      </c>
      <c r="C25" s="27" t="str">
        <f t="shared" si="0"/>
        <v>Jul</v>
      </c>
      <c r="D25" s="27" t="str">
        <f t="shared" si="1"/>
        <v>Q3</v>
      </c>
      <c r="E25" s="28">
        <f t="shared" si="2"/>
        <v>2024</v>
      </c>
      <c r="F25" s="25" t="str">
        <f>PROPER(TRIM('1. Raw Data'!C25))</f>
        <v>Westside</v>
      </c>
      <c r="G25" s="25" t="str">
        <f>TRIM('1. Raw Data'!D25)</f>
        <v>Auto Loan</v>
      </c>
      <c r="H25" s="25" t="str">
        <f>TRIM('1. Raw Data'!E25)</f>
        <v>Loans</v>
      </c>
      <c r="I25" s="25" t="str">
        <f>TRIM('1. Raw Data'!F25)</f>
        <v>Rachel Moore</v>
      </c>
      <c r="J25" s="27" t="str">
        <f>PROPER(TRIM('1. Raw Data'!G25))</f>
        <v>Active</v>
      </c>
      <c r="K25" s="27" t="str">
        <f>TRIM('1. Raw Data'!H25)</f>
        <v>High</v>
      </c>
      <c r="L25" s="29">
        <f>IFERROR(IF('1. Raw Data'!I25="",AVERAGE(IF('1. Raw Data'!I3:I402&lt;&gt;"",'1. Raw Data'!I3:I402)),VALUE('1. Raw Data'!I25)),0)</f>
        <v>75509.09</v>
      </c>
      <c r="M25" s="30">
        <f>IFERROR(IF('1. Raw Data'!J25="",AVERAGE(IF('1. Raw Data'!J3:J402&lt;&gt;"",'1. Raw Data'!J3:J402)),VALUE('1. Raw Data'!J25)),0)</f>
        <v>4.33</v>
      </c>
      <c r="N25" s="28">
        <f>'1. Raw Data'!K25</f>
        <v>6</v>
      </c>
      <c r="O25" s="29">
        <f t="shared" si="3"/>
        <v>12744.261528592784</v>
      </c>
      <c r="P25" s="28">
        <f>'1. Raw Data'!L25</f>
        <v>40</v>
      </c>
      <c r="Q25" s="27" t="str">
        <f>TRIM('1. Raw Data'!M25)</f>
        <v>Standard</v>
      </c>
    </row>
    <row r="26" spans="1:17" ht="16.5" customHeight="1" x14ac:dyDescent="0.45">
      <c r="A26" s="31" t="str">
        <f>'1. Raw Data'!A26</f>
        <v>TXN-100024</v>
      </c>
      <c r="B26" s="32">
        <f>IFERROR(DATEVALUE('1. Raw Data'!B26),"")</f>
        <v>45607</v>
      </c>
      <c r="C26" s="33" t="str">
        <f t="shared" si="0"/>
        <v>Nov</v>
      </c>
      <c r="D26" s="33" t="str">
        <f t="shared" si="1"/>
        <v>Q4</v>
      </c>
      <c r="E26" s="34">
        <f t="shared" si="2"/>
        <v>2024</v>
      </c>
      <c r="F26" s="31" t="str">
        <f>PROPER(TRIM('1. Raw Data'!C26))</f>
        <v>Downtown</v>
      </c>
      <c r="G26" s="31" t="str">
        <f>TRIM('1. Raw Data'!D26)</f>
        <v>Checking Account</v>
      </c>
      <c r="H26" s="31" t="str">
        <f>TRIM('1. Raw Data'!E26)</f>
        <v>Deposits</v>
      </c>
      <c r="I26" s="31" t="str">
        <f>TRIM('1. Raw Data'!F26)</f>
        <v>Maria Lopez</v>
      </c>
      <c r="J26" s="33" t="str">
        <f>PROPER(TRIM('1. Raw Data'!G26))</f>
        <v>Active</v>
      </c>
      <c r="K26" s="33" t="str">
        <f>TRIM('1. Raw Data'!H26)</f>
        <v>High</v>
      </c>
      <c r="L26" s="35">
        <f>IFERROR(IF('1. Raw Data'!I26="",AVERAGE(IF('1. Raw Data'!I3:I402&lt;&gt;"",'1. Raw Data'!I3:I402)),VALUE('1. Raw Data'!I26)),0)</f>
        <v>211721.92</v>
      </c>
      <c r="M26" s="36">
        <f>IFERROR(IF('1. Raw Data'!J26="",AVERAGE(IF('1. Raw Data'!J3:J402&lt;&gt;"",'1. Raw Data'!J3:J402)),VALUE('1. Raw Data'!J26)),0)</f>
        <v>10.14</v>
      </c>
      <c r="N26" s="34">
        <f>'1. Raw Data'!K26</f>
        <v>6</v>
      </c>
      <c r="O26" s="35">
        <f t="shared" si="3"/>
        <v>36337.916875353396</v>
      </c>
      <c r="P26" s="34">
        <f>'1. Raw Data'!L26</f>
        <v>46</v>
      </c>
      <c r="Q26" s="33" t="str">
        <f>TRIM('1. Raw Data'!M26)</f>
        <v>Premium</v>
      </c>
    </row>
    <row r="27" spans="1:17" ht="16.5" customHeight="1" x14ac:dyDescent="0.45">
      <c r="A27" s="25" t="str">
        <f>'1. Raw Data'!A27</f>
        <v>TXN-100025</v>
      </c>
      <c r="B27" s="26">
        <f>IFERROR(DATEVALUE('1. Raw Data'!B27),"")</f>
        <v>45651</v>
      </c>
      <c r="C27" s="27" t="str">
        <f t="shared" si="0"/>
        <v>Dec</v>
      </c>
      <c r="D27" s="27" t="str">
        <f t="shared" si="1"/>
        <v>Q4</v>
      </c>
      <c r="E27" s="28">
        <f t="shared" si="2"/>
        <v>2024</v>
      </c>
      <c r="F27" s="25" t="str">
        <f>PROPER(TRIM('1. Raw Data'!C27))</f>
        <v>Downtown</v>
      </c>
      <c r="G27" s="25" t="str">
        <f>TRIM('1. Raw Data'!D27)</f>
        <v>Credit Card</v>
      </c>
      <c r="H27" s="25" t="str">
        <f>TRIM('1. Raw Data'!E27)</f>
        <v>Cards</v>
      </c>
      <c r="I27" s="25" t="str">
        <f>TRIM('1. Raw Data'!F27)</f>
        <v>David Kim</v>
      </c>
      <c r="J27" s="27" t="str">
        <f>PROPER(TRIM('1. Raw Data'!G27))</f>
        <v>Active</v>
      </c>
      <c r="K27" s="27" t="str">
        <f>TRIM('1. Raw Data'!H27)</f>
        <v>High</v>
      </c>
      <c r="L27" s="29">
        <f>IFERROR(IF('1. Raw Data'!I27="",AVERAGE(IF('1. Raw Data'!I3:I402&lt;&gt;"",'1. Raw Data'!I3:I402)),VALUE('1. Raw Data'!I27)),0)</f>
        <v>57343.43</v>
      </c>
      <c r="M27" s="30">
        <f>IFERROR(IF('1. Raw Data'!J27="",AVERAGE(IF('1. Raw Data'!J3:J402&lt;&gt;"",'1. Raw Data'!J3:J402)),VALUE('1. Raw Data'!J27)),0)</f>
        <v>8.5299999999999994</v>
      </c>
      <c r="N27" s="28">
        <f>'1. Raw Data'!K27</f>
        <v>6</v>
      </c>
      <c r="O27" s="29">
        <f t="shared" si="3"/>
        <v>9796.4179261553272</v>
      </c>
      <c r="P27" s="28">
        <f>'1. Raw Data'!L27</f>
        <v>35</v>
      </c>
      <c r="Q27" s="27" t="str">
        <f>TRIM('1. Raw Data'!M27)</f>
        <v>Standard</v>
      </c>
    </row>
    <row r="28" spans="1:17" ht="16.5" customHeight="1" x14ac:dyDescent="0.45">
      <c r="A28" s="31" t="str">
        <f>'1. Raw Data'!A28</f>
        <v>TXN-100026</v>
      </c>
      <c r="B28" s="32">
        <f>IFERROR(DATEVALUE('1. Raw Data'!B28),"")</f>
        <v>45606</v>
      </c>
      <c r="C28" s="33" t="str">
        <f t="shared" si="0"/>
        <v>Nov</v>
      </c>
      <c r="D28" s="33" t="str">
        <f t="shared" si="1"/>
        <v>Q4</v>
      </c>
      <c r="E28" s="34">
        <f t="shared" si="2"/>
        <v>2024</v>
      </c>
      <c r="F28" s="31" t="str">
        <f>PROPER(TRIM('1. Raw Data'!C28))</f>
        <v>Downtown</v>
      </c>
      <c r="G28" s="31" t="str">
        <f>TRIM('1. Raw Data'!D28)</f>
        <v>Checking Account</v>
      </c>
      <c r="H28" s="31" t="str">
        <f>TRIM('1. Raw Data'!E28)</f>
        <v>Deposits</v>
      </c>
      <c r="I28" s="31" t="str">
        <f>TRIM('1. Raw Data'!F28)</f>
        <v>James Patel</v>
      </c>
      <c r="J28" s="33" t="str">
        <f>PROPER(TRIM('1. Raw Data'!G28))</f>
        <v>Active</v>
      </c>
      <c r="K28" s="33" t="str">
        <f>TRIM('1. Raw Data'!H28)</f>
        <v>Low</v>
      </c>
      <c r="L28" s="35">
        <f>IFERROR(IF('1. Raw Data'!I28="",AVERAGE(IF('1. Raw Data'!I3:I402&lt;&gt;"",'1. Raw Data'!I3:I402)),VALUE('1. Raw Data'!I28)),0)</f>
        <v>15787.27</v>
      </c>
      <c r="M28" s="36">
        <f>IFERROR(IF('1. Raw Data'!J28="",AVERAGE(IF('1. Raw Data'!J3:J402&lt;&gt;"",'1. Raw Data'!J3:J402)),VALUE('1. Raw Data'!J28)),0)</f>
        <v>12.62</v>
      </c>
      <c r="N28" s="34">
        <f>'1. Raw Data'!K28</f>
        <v>24</v>
      </c>
      <c r="O28" s="35">
        <f t="shared" si="3"/>
        <v>747.74083379943829</v>
      </c>
      <c r="P28" s="34">
        <f>'1. Raw Data'!L28</f>
        <v>59</v>
      </c>
      <c r="Q28" s="33" t="str">
        <f>TRIM('1. Raw Data'!M28)</f>
        <v>Basic</v>
      </c>
    </row>
    <row r="29" spans="1:17" ht="16.5" customHeight="1" x14ac:dyDescent="0.45">
      <c r="A29" s="25" t="str">
        <f>'1. Raw Data'!A29</f>
        <v>TXN-100027</v>
      </c>
      <c r="B29" s="26">
        <f>IFERROR(DATEVALUE('1. Raw Data'!B29),"")</f>
        <v>45393</v>
      </c>
      <c r="C29" s="27" t="str">
        <f t="shared" si="0"/>
        <v>Apr</v>
      </c>
      <c r="D29" s="27" t="str">
        <f t="shared" si="1"/>
        <v>Q2</v>
      </c>
      <c r="E29" s="28">
        <f t="shared" si="2"/>
        <v>2024</v>
      </c>
      <c r="F29" s="25" t="str">
        <f>PROPER(TRIM('1. Raw Data'!C29))</f>
        <v>Eastgate</v>
      </c>
      <c r="G29" s="25" t="str">
        <f>TRIM('1. Raw Data'!D29)</f>
        <v>Fixed Deposit</v>
      </c>
      <c r="H29" s="25" t="str">
        <f>TRIM('1. Raw Data'!E29)</f>
        <v>Deposits</v>
      </c>
      <c r="I29" s="25" t="str">
        <f>TRIM('1. Raw Data'!F29)</f>
        <v>Sarah Chen</v>
      </c>
      <c r="J29" s="27" t="str">
        <f>PROPER(TRIM('1. Raw Data'!G29))</f>
        <v>Active</v>
      </c>
      <c r="K29" s="27" t="str">
        <f>TRIM('1. Raw Data'!H29)</f>
        <v>High</v>
      </c>
      <c r="L29" s="29">
        <f>IFERROR(IF('1. Raw Data'!I29="",AVERAGE(IF('1. Raw Data'!I3:I402&lt;&gt;"",'1. Raw Data'!I3:I402)),VALUE('1. Raw Data'!I29)),0)</f>
        <v>108949.17</v>
      </c>
      <c r="M29" s="30">
        <f>IFERROR(IF('1. Raw Data'!J29="",AVERAGE(IF('1. Raw Data'!J3:J402&lt;&gt;"",'1. Raw Data'!J3:J402)),VALUE('1. Raw Data'!J29)),0)</f>
        <v>8</v>
      </c>
      <c r="N29" s="28">
        <f>'1. Raw Data'!K29</f>
        <v>360</v>
      </c>
      <c r="O29" s="29">
        <f t="shared" si="3"/>
        <v>799.43041299561867</v>
      </c>
      <c r="P29" s="28">
        <f>'1. Raw Data'!L29</f>
        <v>27</v>
      </c>
      <c r="Q29" s="27" t="str">
        <f>TRIM('1. Raw Data'!M29)</f>
        <v>Premium</v>
      </c>
    </row>
    <row r="30" spans="1:17" ht="16.5" customHeight="1" x14ac:dyDescent="0.45">
      <c r="A30" s="31" t="str">
        <f>'1. Raw Data'!A30</f>
        <v>TXN-100028</v>
      </c>
      <c r="B30" s="32">
        <f>IFERROR(DATEVALUE('1. Raw Data'!B30),"")</f>
        <v>45367</v>
      </c>
      <c r="C30" s="33" t="str">
        <f t="shared" si="0"/>
        <v>Mar</v>
      </c>
      <c r="D30" s="33" t="str">
        <f t="shared" si="1"/>
        <v>Q1</v>
      </c>
      <c r="E30" s="34">
        <f t="shared" si="2"/>
        <v>2024</v>
      </c>
      <c r="F30" s="31" t="str">
        <f>PROPER(TRIM('1. Raw Data'!C30))</f>
        <v>Downtown</v>
      </c>
      <c r="G30" s="31" t="str">
        <f>TRIM('1. Raw Data'!D30)</f>
        <v>Business Loan</v>
      </c>
      <c r="H30" s="31" t="str">
        <f>TRIM('1. Raw Data'!E30)</f>
        <v>Loans</v>
      </c>
      <c r="I30" s="31" t="str">
        <f>TRIM('1. Raw Data'!F30)</f>
        <v>Rachel Moore</v>
      </c>
      <c r="J30" s="33" t="str">
        <f>PROPER(TRIM('1. Raw Data'!G30))</f>
        <v>Active</v>
      </c>
      <c r="K30" s="33" t="str">
        <f>TRIM('1. Raw Data'!H30)</f>
        <v>Low</v>
      </c>
      <c r="L30" s="35">
        <f>IFERROR(IF('1. Raw Data'!I30="",AVERAGE(IF('1. Raw Data'!I3:I402&lt;&gt;"",'1. Raw Data'!I3:I402)),VALUE('1. Raw Data'!I30)),0)</f>
        <v>184668.95</v>
      </c>
      <c r="M30" s="36">
        <f>IFERROR(IF('1. Raw Data'!J30="",AVERAGE(IF('1. Raw Data'!J3:J402&lt;&gt;"",'1. Raw Data'!J3:J402)),VALUE('1. Raw Data'!J30)),0)</f>
        <v>5.36</v>
      </c>
      <c r="N30" s="34">
        <f>'1. Raw Data'!K30</f>
        <v>48</v>
      </c>
      <c r="O30" s="35">
        <f t="shared" si="3"/>
        <v>4282.9763509167706</v>
      </c>
      <c r="P30" s="34">
        <f>'1. Raw Data'!L30</f>
        <v>32</v>
      </c>
      <c r="Q30" s="33" t="str">
        <f>TRIM('1. Raw Data'!M30)</f>
        <v>Premium</v>
      </c>
    </row>
    <row r="31" spans="1:17" ht="16.5" customHeight="1" x14ac:dyDescent="0.45">
      <c r="A31" s="25" t="str">
        <f>'1. Raw Data'!A31</f>
        <v>TXN-100029</v>
      </c>
      <c r="B31" s="26">
        <f>IFERROR(DATEVALUE('1. Raw Data'!B31),"")</f>
        <v>45404</v>
      </c>
      <c r="C31" s="27" t="str">
        <f t="shared" si="0"/>
        <v>Apr</v>
      </c>
      <c r="D31" s="27" t="str">
        <f t="shared" si="1"/>
        <v>Q2</v>
      </c>
      <c r="E31" s="28">
        <f t="shared" si="2"/>
        <v>2024</v>
      </c>
      <c r="F31" s="25" t="str">
        <f>PROPER(TRIM('1. Raw Data'!C31))</f>
        <v>Northpark</v>
      </c>
      <c r="G31" s="25" t="str">
        <f>TRIM('1. Raw Data'!D31)</f>
        <v>Savings Account</v>
      </c>
      <c r="H31" s="25" t="str">
        <f>TRIM('1. Raw Data'!E31)</f>
        <v>Deposits</v>
      </c>
      <c r="I31" s="25" t="str">
        <f>TRIM('1. Raw Data'!F31)</f>
        <v>James Patel</v>
      </c>
      <c r="J31" s="27" t="str">
        <f>PROPER(TRIM('1. Raw Data'!G31))</f>
        <v>Active</v>
      </c>
      <c r="K31" s="27" t="str">
        <f>TRIM('1. Raw Data'!H31)</f>
        <v>High</v>
      </c>
      <c r="L31" s="29">
        <f>IFERROR(IF('1. Raw Data'!I31="",AVERAGE(IF('1. Raw Data'!I3:I402&lt;&gt;"",'1. Raw Data'!I3:I402)),VALUE('1. Raw Data'!I31)),0)</f>
        <v>176395.17</v>
      </c>
      <c r="M31" s="30">
        <f>IFERROR(IF('1. Raw Data'!J31="",AVERAGE(IF('1. Raw Data'!J3:J402&lt;&gt;"",'1. Raw Data'!J3:J402)),VALUE('1. Raw Data'!J31)),0)</f>
        <v>7.05</v>
      </c>
      <c r="N31" s="28">
        <f>'1. Raw Data'!K31</f>
        <v>240</v>
      </c>
      <c r="O31" s="29">
        <f t="shared" si="3"/>
        <v>1372.8889669146613</v>
      </c>
      <c r="P31" s="28">
        <f>'1. Raw Data'!L31</f>
        <v>26</v>
      </c>
      <c r="Q31" s="27" t="str">
        <f>TRIM('1. Raw Data'!M31)</f>
        <v>Premium</v>
      </c>
    </row>
    <row r="32" spans="1:17" ht="16.5" customHeight="1" x14ac:dyDescent="0.45">
      <c r="A32" s="31" t="str">
        <f>'1. Raw Data'!A32</f>
        <v>TXN-100030</v>
      </c>
      <c r="B32" s="32">
        <f>IFERROR(DATEVALUE('1. Raw Data'!B32),"")</f>
        <v>45450</v>
      </c>
      <c r="C32" s="33" t="str">
        <f t="shared" si="0"/>
        <v>Jun</v>
      </c>
      <c r="D32" s="33" t="str">
        <f t="shared" si="1"/>
        <v>Q2</v>
      </c>
      <c r="E32" s="34">
        <f t="shared" si="2"/>
        <v>2024</v>
      </c>
      <c r="F32" s="31" t="str">
        <f>PROPER(TRIM('1. Raw Data'!C32))</f>
        <v>Downtown</v>
      </c>
      <c r="G32" s="31" t="str">
        <f>TRIM('1. Raw Data'!D32)</f>
        <v>Checking Account</v>
      </c>
      <c r="H32" s="31" t="str">
        <f>TRIM('1. Raw Data'!E32)</f>
        <v>Deposits</v>
      </c>
      <c r="I32" s="31" t="str">
        <f>TRIM('1. Raw Data'!F32)</f>
        <v>Sarah Chen</v>
      </c>
      <c r="J32" s="33" t="str">
        <f>PROPER(TRIM('1. Raw Data'!G32))</f>
        <v>Active</v>
      </c>
      <c r="K32" s="33" t="str">
        <f>TRIM('1. Raw Data'!H32)</f>
        <v>Low</v>
      </c>
      <c r="L32" s="35">
        <f>IFERROR(IF('1. Raw Data'!I32="",AVERAGE(IF('1. Raw Data'!I3:I402&lt;&gt;"",'1. Raw Data'!I3:I402)),VALUE('1. Raw Data'!I32)),0)</f>
        <v>0</v>
      </c>
      <c r="M32" s="36">
        <f>IFERROR(IF('1. Raw Data'!J32="",AVERAGE(IF('1. Raw Data'!J3:J402&lt;&gt;"",'1. Raw Data'!J3:J402)),VALUE('1. Raw Data'!J32)),0)</f>
        <v>10.119999999999999</v>
      </c>
      <c r="N32" s="34">
        <f>'1. Raw Data'!K32</f>
        <v>24</v>
      </c>
      <c r="O32" s="35">
        <f t="shared" si="3"/>
        <v>0</v>
      </c>
      <c r="P32" s="34">
        <f>'1. Raw Data'!L32</f>
        <v>39</v>
      </c>
      <c r="Q32" s="33" t="str">
        <f>TRIM('1. Raw Data'!M32)</f>
        <v>Premium</v>
      </c>
    </row>
    <row r="33" spans="1:17" ht="16.5" customHeight="1" x14ac:dyDescent="0.45">
      <c r="A33" s="25" t="str">
        <f>'1. Raw Data'!A33</f>
        <v>TXN-100031</v>
      </c>
      <c r="B33" s="26">
        <f>IFERROR(DATEVALUE('1. Raw Data'!B33),"")</f>
        <v>45478</v>
      </c>
      <c r="C33" s="27" t="str">
        <f t="shared" si="0"/>
        <v>Jul</v>
      </c>
      <c r="D33" s="27" t="str">
        <f t="shared" si="1"/>
        <v>Q3</v>
      </c>
      <c r="E33" s="28">
        <f t="shared" si="2"/>
        <v>2024</v>
      </c>
      <c r="F33" s="25" t="str">
        <f>PROPER(TRIM('1. Raw Data'!C33))</f>
        <v>Uptown</v>
      </c>
      <c r="G33" s="25" t="str">
        <f>TRIM('1. Raw Data'!D33)</f>
        <v>Auto Loan</v>
      </c>
      <c r="H33" s="25" t="str">
        <f>TRIM('1. Raw Data'!E33)</f>
        <v>Loans</v>
      </c>
      <c r="I33" s="25" t="str">
        <f>TRIM('1. Raw Data'!F33)</f>
        <v>Sarah Chen</v>
      </c>
      <c r="J33" s="27" t="str">
        <f>PROPER(TRIM('1. Raw Data'!G33))</f>
        <v>Active</v>
      </c>
      <c r="K33" s="27" t="str">
        <f>TRIM('1. Raw Data'!H33)</f>
        <v>Medium</v>
      </c>
      <c r="L33" s="29">
        <f>IFERROR(IF('1. Raw Data'!I33="",AVERAGE(IF('1. Raw Data'!I3:I402&lt;&gt;"",'1. Raw Data'!I3:I402)),VALUE('1. Raw Data'!I33)),0)</f>
        <v>174300.23</v>
      </c>
      <c r="M33" s="30">
        <f>IFERROR(IF('1. Raw Data'!J33="",AVERAGE(IF('1. Raw Data'!J3:J402&lt;&gt;"",'1. Raw Data'!J3:J402)),VALUE('1. Raw Data'!J33)),0)</f>
        <v>8.6</v>
      </c>
      <c r="N33" s="28">
        <f>'1. Raw Data'!K33</f>
        <v>36</v>
      </c>
      <c r="O33" s="29">
        <f t="shared" si="3"/>
        <v>5510.3091093938183</v>
      </c>
      <c r="P33" s="28">
        <f>'1. Raw Data'!L33</f>
        <v>50</v>
      </c>
      <c r="Q33" s="27" t="str">
        <f>TRIM('1. Raw Data'!M33)</f>
        <v>Premium</v>
      </c>
    </row>
    <row r="34" spans="1:17" ht="16.5" customHeight="1" x14ac:dyDescent="0.45">
      <c r="A34" s="31" t="str">
        <f>'1. Raw Data'!A34</f>
        <v>TXN-100032</v>
      </c>
      <c r="B34" s="32">
        <f>IFERROR(DATEVALUE('1. Raw Data'!B34),"")</f>
        <v>45481</v>
      </c>
      <c r="C34" s="33" t="str">
        <f t="shared" si="0"/>
        <v>Jul</v>
      </c>
      <c r="D34" s="33" t="str">
        <f t="shared" si="1"/>
        <v>Q3</v>
      </c>
      <c r="E34" s="34">
        <f t="shared" si="2"/>
        <v>2024</v>
      </c>
      <c r="F34" s="31" t="str">
        <f>PROPER(TRIM('1. Raw Data'!C34))</f>
        <v>Downtown</v>
      </c>
      <c r="G34" s="31" t="str">
        <f>TRIM('1. Raw Data'!D34)</f>
        <v>Business Loan</v>
      </c>
      <c r="H34" s="31" t="str">
        <f>TRIM('1. Raw Data'!E34)</f>
        <v>Loans</v>
      </c>
      <c r="I34" s="31" t="str">
        <f>TRIM('1. Raw Data'!F34)</f>
        <v>Sarah Chen</v>
      </c>
      <c r="J34" s="33" t="str">
        <f>PROPER(TRIM('1. Raw Data'!G34))</f>
        <v>Active</v>
      </c>
      <c r="K34" s="33" t="str">
        <f>TRIM('1. Raw Data'!H34)</f>
        <v>Medium</v>
      </c>
      <c r="L34" s="35">
        <f>IFERROR(IF('1. Raw Data'!I34="",AVERAGE(IF('1. Raw Data'!I3:I402&lt;&gt;"",'1. Raw Data'!I3:I402)),VALUE('1. Raw Data'!I34)),0)</f>
        <v>134809.56</v>
      </c>
      <c r="M34" s="36">
        <f>IFERROR(IF('1. Raw Data'!J34="",AVERAGE(IF('1. Raw Data'!J3:J402&lt;&gt;"",'1. Raw Data'!J3:J402)),VALUE('1. Raw Data'!J34)),0)</f>
        <v>11.47</v>
      </c>
      <c r="N34" s="34">
        <f>'1. Raw Data'!K34</f>
        <v>6</v>
      </c>
      <c r="O34" s="35">
        <f t="shared" si="3"/>
        <v>23225.87530578157</v>
      </c>
      <c r="P34" s="34">
        <f>'1. Raw Data'!L34</f>
        <v>23</v>
      </c>
      <c r="Q34" s="33" t="str">
        <f>TRIM('1. Raw Data'!M34)</f>
        <v>Premium</v>
      </c>
    </row>
    <row r="35" spans="1:17" ht="16.5" customHeight="1" x14ac:dyDescent="0.45">
      <c r="A35" s="25" t="str">
        <f>'1. Raw Data'!A35</f>
        <v>TXN-100033</v>
      </c>
      <c r="B35" s="26">
        <f>IFERROR(DATEVALUE('1. Raw Data'!B35),"")</f>
        <v>45345</v>
      </c>
      <c r="C35" s="27" t="str">
        <f t="shared" si="0"/>
        <v>Feb</v>
      </c>
      <c r="D35" s="27" t="str">
        <f t="shared" si="1"/>
        <v>Q1</v>
      </c>
      <c r="E35" s="28">
        <f t="shared" si="2"/>
        <v>2024</v>
      </c>
      <c r="F35" s="25" t="str">
        <f>PROPER(TRIM('1. Raw Data'!C35))</f>
        <v>Downtown</v>
      </c>
      <c r="G35" s="25" t="str">
        <f>TRIM('1. Raw Data'!D35)</f>
        <v>Checking Account</v>
      </c>
      <c r="H35" s="25" t="str">
        <f>TRIM('1. Raw Data'!E35)</f>
        <v>Deposits</v>
      </c>
      <c r="I35" s="25" t="str">
        <f>TRIM('1. Raw Data'!F35)</f>
        <v>David Kim</v>
      </c>
      <c r="J35" s="27" t="str">
        <f>PROPER(TRIM('1. Raw Data'!G35))</f>
        <v>Active</v>
      </c>
      <c r="K35" s="27" t="str">
        <f>TRIM('1. Raw Data'!H35)</f>
        <v>Medium</v>
      </c>
      <c r="L35" s="29">
        <f>IFERROR(IF('1. Raw Data'!I35="",AVERAGE(IF('1. Raw Data'!I3:I402&lt;&gt;"",'1. Raw Data'!I3:I402)),VALUE('1. Raw Data'!I35)),0)</f>
        <v>211082.87</v>
      </c>
      <c r="M35" s="30">
        <f>IFERROR(IF('1. Raw Data'!J35="",AVERAGE(IF('1. Raw Data'!J3:J402&lt;&gt;"",'1. Raw Data'!J3:J402)),VALUE('1. Raw Data'!J35)),0)</f>
        <v>10.86</v>
      </c>
      <c r="N35" s="28">
        <f>'1. Raw Data'!K35</f>
        <v>180</v>
      </c>
      <c r="O35" s="29">
        <f t="shared" si="3"/>
        <v>2380.6375358260816</v>
      </c>
      <c r="P35" s="28">
        <f>'1. Raw Data'!L35</f>
        <v>49</v>
      </c>
      <c r="Q35" s="27" t="str">
        <f>TRIM('1. Raw Data'!M35)</f>
        <v>Premium</v>
      </c>
    </row>
    <row r="36" spans="1:17" ht="16.5" customHeight="1" x14ac:dyDescent="0.45">
      <c r="A36" s="31" t="str">
        <f>'1. Raw Data'!A36</f>
        <v>TXN-100034</v>
      </c>
      <c r="B36" s="32">
        <f>IFERROR(DATEVALUE('1. Raw Data'!B36),"")</f>
        <v>45385</v>
      </c>
      <c r="C36" s="33" t="str">
        <f t="shared" si="0"/>
        <v>Apr</v>
      </c>
      <c r="D36" s="33" t="str">
        <f t="shared" si="1"/>
        <v>Q2</v>
      </c>
      <c r="E36" s="34">
        <f t="shared" si="2"/>
        <v>2024</v>
      </c>
      <c r="F36" s="31" t="str">
        <f>PROPER(TRIM('1. Raw Data'!C36))</f>
        <v>Westside</v>
      </c>
      <c r="G36" s="31" t="str">
        <f>TRIM('1. Raw Data'!D36)</f>
        <v>Auto Loan</v>
      </c>
      <c r="H36" s="31" t="str">
        <f>TRIM('1. Raw Data'!E36)</f>
        <v>Loans</v>
      </c>
      <c r="I36" s="31" t="str">
        <f>TRIM('1. Raw Data'!F36)</f>
        <v>Sarah Chen</v>
      </c>
      <c r="J36" s="33" t="str">
        <f>PROPER(TRIM('1. Raw Data'!G36))</f>
        <v>Active</v>
      </c>
      <c r="K36" s="33" t="str">
        <f>TRIM('1. Raw Data'!H36)</f>
        <v>High</v>
      </c>
      <c r="L36" s="35">
        <f>IFERROR(IF('1. Raw Data'!I36="",AVERAGE(IF('1. Raw Data'!I3:I402&lt;&gt;"",'1. Raw Data'!I3:I402)),VALUE('1. Raw Data'!I36)),0)</f>
        <v>232615.16</v>
      </c>
      <c r="M36" s="36">
        <f>IFERROR(IF('1. Raw Data'!J36="",AVERAGE(IF('1. Raw Data'!J3:J402&lt;&gt;"",'1. Raw Data'!J3:J402)),VALUE('1. Raw Data'!J36)),0)</f>
        <v>5.03</v>
      </c>
      <c r="N36" s="34">
        <f>'1. Raw Data'!K36</f>
        <v>60</v>
      </c>
      <c r="O36" s="35">
        <f t="shared" si="3"/>
        <v>4392.9328883555218</v>
      </c>
      <c r="P36" s="34">
        <f>'1. Raw Data'!L36</f>
        <v>61</v>
      </c>
      <c r="Q36" s="33" t="str">
        <f>TRIM('1. Raw Data'!M36)</f>
        <v>Premium</v>
      </c>
    </row>
    <row r="37" spans="1:17" ht="16.5" customHeight="1" x14ac:dyDescent="0.45">
      <c r="A37" s="25" t="str">
        <f>'1. Raw Data'!A37</f>
        <v>TXN-100035</v>
      </c>
      <c r="B37" s="26">
        <f>IFERROR(DATEVALUE('1. Raw Data'!B37),"")</f>
        <v>45635</v>
      </c>
      <c r="C37" s="27" t="str">
        <f t="shared" si="0"/>
        <v>Dec</v>
      </c>
      <c r="D37" s="27" t="str">
        <f t="shared" si="1"/>
        <v>Q4</v>
      </c>
      <c r="E37" s="28">
        <f t="shared" si="2"/>
        <v>2024</v>
      </c>
      <c r="F37" s="25" t="str">
        <f>PROPER(TRIM('1. Raw Data'!C37))</f>
        <v>Eastgate</v>
      </c>
      <c r="G37" s="25" t="str">
        <f>TRIM('1. Raw Data'!D37)</f>
        <v>Fixed Deposit</v>
      </c>
      <c r="H37" s="25" t="str">
        <f>TRIM('1. Raw Data'!E37)</f>
        <v>Deposits</v>
      </c>
      <c r="I37" s="25" t="str">
        <f>TRIM('1. Raw Data'!F37)</f>
        <v>Rachel Moore</v>
      </c>
      <c r="J37" s="27" t="str">
        <f>PROPER(TRIM('1. Raw Data'!G37))</f>
        <v>Active</v>
      </c>
      <c r="K37" s="27" t="str">
        <f>TRIM('1. Raw Data'!H37)</f>
        <v>High</v>
      </c>
      <c r="L37" s="29">
        <f>IFERROR(IF('1. Raw Data'!I37="",AVERAGE(IF('1. Raw Data'!I3:I402&lt;&gt;"",'1. Raw Data'!I3:I402)),VALUE('1. Raw Data'!I37)),0)</f>
        <v>19870.29</v>
      </c>
      <c r="M37" s="30">
        <f>IFERROR(IF('1. Raw Data'!J37="",AVERAGE(IF('1. Raw Data'!J3:J402&lt;&gt;"",'1. Raw Data'!J3:J402)),VALUE('1. Raw Data'!J37)),0)</f>
        <v>6.91</v>
      </c>
      <c r="N37" s="28">
        <f>'1. Raw Data'!K37</f>
        <v>6</v>
      </c>
      <c r="O37" s="29">
        <f t="shared" si="3"/>
        <v>3378.7792135555637</v>
      </c>
      <c r="P37" s="28">
        <f>'1. Raw Data'!L37</f>
        <v>40</v>
      </c>
      <c r="Q37" s="27" t="str">
        <f>TRIM('1. Raw Data'!M37)</f>
        <v>Basic</v>
      </c>
    </row>
    <row r="38" spans="1:17" ht="16.5" customHeight="1" x14ac:dyDescent="0.45">
      <c r="A38" s="31" t="str">
        <f>'1. Raw Data'!A38</f>
        <v>TXN-100036</v>
      </c>
      <c r="B38" s="32">
        <f>IFERROR(DATEVALUE('1. Raw Data'!B38),"")</f>
        <v>45332</v>
      </c>
      <c r="C38" s="33" t="str">
        <f t="shared" si="0"/>
        <v>Feb</v>
      </c>
      <c r="D38" s="33" t="str">
        <f t="shared" si="1"/>
        <v>Q1</v>
      </c>
      <c r="E38" s="34">
        <f t="shared" si="2"/>
        <v>2024</v>
      </c>
      <c r="F38" s="31" t="str">
        <f>PROPER(TRIM('1. Raw Data'!C38))</f>
        <v>Westside</v>
      </c>
      <c r="G38" s="31" t="str">
        <f>TRIM('1. Raw Data'!D38)</f>
        <v>Mortgage</v>
      </c>
      <c r="H38" s="31" t="str">
        <f>TRIM('1. Raw Data'!E38)</f>
        <v>Loans</v>
      </c>
      <c r="I38" s="31" t="str">
        <f>TRIM('1. Raw Data'!F38)</f>
        <v>Rachel Moore</v>
      </c>
      <c r="J38" s="33" t="str">
        <f>PROPER(TRIM('1. Raw Data'!G38))</f>
        <v>Inactive</v>
      </c>
      <c r="K38" s="33" t="str">
        <f>TRIM('1. Raw Data'!H38)</f>
        <v>High</v>
      </c>
      <c r="L38" s="35">
        <f>IFERROR(IF('1. Raw Data'!I38="",AVERAGE(IF('1. Raw Data'!I3:I402&lt;&gt;"",'1. Raw Data'!I3:I402)),VALUE('1. Raw Data'!I38)),0)</f>
        <v>99894.86</v>
      </c>
      <c r="M38" s="36">
        <f>IFERROR(IF('1. Raw Data'!J38="",AVERAGE(IF('1. Raw Data'!J3:J402&lt;&gt;"",'1. Raw Data'!J3:J402)),VALUE('1. Raw Data'!J38)),0)</f>
        <v>4.9000000000000004</v>
      </c>
      <c r="N38" s="34">
        <f>'1. Raw Data'!K38</f>
        <v>360</v>
      </c>
      <c r="O38" s="35">
        <f t="shared" si="3"/>
        <v>530.16871454874183</v>
      </c>
      <c r="P38" s="34">
        <f>'1. Raw Data'!L38</f>
        <v>39</v>
      </c>
      <c r="Q38" s="33" t="str">
        <f>TRIM('1. Raw Data'!M38)</f>
        <v>Standard</v>
      </c>
    </row>
    <row r="39" spans="1:17" ht="16.5" customHeight="1" x14ac:dyDescent="0.45">
      <c r="A39" s="25" t="str">
        <f>'1. Raw Data'!A39</f>
        <v>TXN-100037</v>
      </c>
      <c r="B39" s="26">
        <f>IFERROR(DATEVALUE('1. Raw Data'!B39),"")</f>
        <v>45480</v>
      </c>
      <c r="C39" s="27" t="str">
        <f t="shared" si="0"/>
        <v>Jul</v>
      </c>
      <c r="D39" s="27" t="str">
        <f t="shared" si="1"/>
        <v>Q3</v>
      </c>
      <c r="E39" s="28">
        <f t="shared" si="2"/>
        <v>2024</v>
      </c>
      <c r="F39" s="25" t="str">
        <f>PROPER(TRIM('1. Raw Data'!C39))</f>
        <v>Downtown</v>
      </c>
      <c r="G39" s="25" t="str">
        <f>TRIM('1. Raw Data'!D39)</f>
        <v>Checking Account</v>
      </c>
      <c r="H39" s="25" t="str">
        <f>TRIM('1. Raw Data'!E39)</f>
        <v>Deposits</v>
      </c>
      <c r="I39" s="25" t="str">
        <f>TRIM('1. Raw Data'!F39)</f>
        <v>Rachel Moore</v>
      </c>
      <c r="J39" s="27" t="str">
        <f>PROPER(TRIM('1. Raw Data'!G39))</f>
        <v>Active</v>
      </c>
      <c r="K39" s="27" t="str">
        <f>TRIM('1. Raw Data'!H39)</f>
        <v>Low</v>
      </c>
      <c r="L39" s="29">
        <f>IFERROR(IF('1. Raw Data'!I39="",AVERAGE(IF('1. Raw Data'!I3:I402&lt;&gt;"",'1. Raw Data'!I3:I402)),VALUE('1. Raw Data'!I39)),0)</f>
        <v>106129.92</v>
      </c>
      <c r="M39" s="30">
        <f>IFERROR(IF('1. Raw Data'!J39="",AVERAGE(IF('1. Raw Data'!J3:J402&lt;&gt;"",'1. Raw Data'!J3:J402)),VALUE('1. Raw Data'!J39)),0)</f>
        <v>10.119999999999999</v>
      </c>
      <c r="N39" s="28">
        <f>'1. Raw Data'!K39</f>
        <v>360</v>
      </c>
      <c r="O39" s="29">
        <f t="shared" si="3"/>
        <v>940.79085863724288</v>
      </c>
      <c r="P39" s="28">
        <f>'1. Raw Data'!L39</f>
        <v>59</v>
      </c>
      <c r="Q39" s="27" t="str">
        <f>TRIM('1. Raw Data'!M39)</f>
        <v>Premium</v>
      </c>
    </row>
    <row r="40" spans="1:17" ht="16.5" customHeight="1" x14ac:dyDescent="0.45">
      <c r="A40" s="31" t="str">
        <f>'1. Raw Data'!A40</f>
        <v>TXN-100038</v>
      </c>
      <c r="B40" s="32">
        <f>IFERROR(DATEVALUE('1. Raw Data'!B40),"")</f>
        <v>45378</v>
      </c>
      <c r="C40" s="33" t="str">
        <f t="shared" si="0"/>
        <v>Mar</v>
      </c>
      <c r="D40" s="33" t="str">
        <f t="shared" si="1"/>
        <v>Q1</v>
      </c>
      <c r="E40" s="34">
        <f t="shared" si="2"/>
        <v>2024</v>
      </c>
      <c r="F40" s="31" t="str">
        <f>PROPER(TRIM('1. Raw Data'!C40))</f>
        <v>Downtown</v>
      </c>
      <c r="G40" s="31" t="str">
        <f>TRIM('1. Raw Data'!D40)</f>
        <v>Checking Account</v>
      </c>
      <c r="H40" s="31" t="str">
        <f>TRIM('1. Raw Data'!E40)</f>
        <v>Deposits</v>
      </c>
      <c r="I40" s="31" t="str">
        <f>TRIM('1. Raw Data'!F40)</f>
        <v>David Kim</v>
      </c>
      <c r="J40" s="33" t="str">
        <f>PROPER(TRIM('1. Raw Data'!G40))</f>
        <v>Pending</v>
      </c>
      <c r="K40" s="33" t="str">
        <f>TRIM('1. Raw Data'!H40)</f>
        <v>Medium</v>
      </c>
      <c r="L40" s="35">
        <f>IFERROR(IF('1. Raw Data'!I40="",AVERAGE(IF('1. Raw Data'!I3:I402&lt;&gt;"",'1. Raw Data'!I3:I402)),VALUE('1. Raw Data'!I40)),0)</f>
        <v>34141.599999999999</v>
      </c>
      <c r="M40" s="36">
        <f>IFERROR(IF('1. Raw Data'!J40="",AVERAGE(IF('1. Raw Data'!J3:J402&lt;&gt;"",'1. Raw Data'!J3:J402)),VALUE('1. Raw Data'!J40)),0)</f>
        <v>11.4</v>
      </c>
      <c r="N40" s="34">
        <f>'1. Raw Data'!K40</f>
        <v>48</v>
      </c>
      <c r="O40" s="35">
        <f t="shared" si="3"/>
        <v>889.05423996778165</v>
      </c>
      <c r="P40" s="34">
        <f>'1. Raw Data'!L40</f>
        <v>33</v>
      </c>
      <c r="Q40" s="33" t="str">
        <f>TRIM('1. Raw Data'!M40)</f>
        <v>Standard</v>
      </c>
    </row>
    <row r="41" spans="1:17" ht="16.5" customHeight="1" x14ac:dyDescent="0.45">
      <c r="A41" s="25" t="str">
        <f>'1. Raw Data'!A41</f>
        <v>TXN-100039</v>
      </c>
      <c r="B41" s="26">
        <f>IFERROR(DATEVALUE('1. Raw Data'!B41),"")</f>
        <v>45421</v>
      </c>
      <c r="C41" s="27" t="str">
        <f t="shared" si="0"/>
        <v>May</v>
      </c>
      <c r="D41" s="27" t="str">
        <f t="shared" si="1"/>
        <v>Q2</v>
      </c>
      <c r="E41" s="28">
        <f t="shared" si="2"/>
        <v>2024</v>
      </c>
      <c r="F41" s="25" t="str">
        <f>PROPER(TRIM('1. Raw Data'!C41))</f>
        <v>Eastgate</v>
      </c>
      <c r="G41" s="25" t="str">
        <f>TRIM('1. Raw Data'!D41)</f>
        <v>Savings Account</v>
      </c>
      <c r="H41" s="25" t="str">
        <f>TRIM('1. Raw Data'!E41)</f>
        <v>Deposits</v>
      </c>
      <c r="I41" s="25" t="str">
        <f>TRIM('1. Raw Data'!F41)</f>
        <v>Sarah Chen</v>
      </c>
      <c r="J41" s="27" t="str">
        <f>PROPER(TRIM('1. Raw Data'!G41))</f>
        <v>Active</v>
      </c>
      <c r="K41" s="27" t="str">
        <f>TRIM('1. Raw Data'!H41)</f>
        <v>High</v>
      </c>
      <c r="L41" s="29">
        <f>IFERROR(IF('1. Raw Data'!I41="",AVERAGE(IF('1. Raw Data'!I3:I402&lt;&gt;"",'1. Raw Data'!I3:I402)),VALUE('1. Raw Data'!I41)),0)</f>
        <v>212293.98</v>
      </c>
      <c r="M41" s="30">
        <f>IFERROR(IF('1. Raw Data'!J41="",AVERAGE(IF('1. Raw Data'!J3:J402&lt;&gt;"",'1. Raw Data'!J3:J402)),VALUE('1. Raw Data'!J41)),0)</f>
        <v>10.86</v>
      </c>
      <c r="N41" s="28">
        <f>'1. Raw Data'!K41</f>
        <v>48</v>
      </c>
      <c r="O41" s="29">
        <f t="shared" si="3"/>
        <v>5472.42655115245</v>
      </c>
      <c r="P41" s="28">
        <f>'1. Raw Data'!L41</f>
        <v>68</v>
      </c>
      <c r="Q41" s="27" t="str">
        <f>TRIM('1. Raw Data'!M41)</f>
        <v>Premium</v>
      </c>
    </row>
    <row r="42" spans="1:17" ht="16.5" customHeight="1" x14ac:dyDescent="0.45">
      <c r="A42" s="31" t="str">
        <f>'1. Raw Data'!A42</f>
        <v>TXN-100040</v>
      </c>
      <c r="B42" s="32">
        <f>IFERROR(DATEVALUE('1. Raw Data'!B42),"")</f>
        <v>45410</v>
      </c>
      <c r="C42" s="33" t="str">
        <f t="shared" si="0"/>
        <v>Apr</v>
      </c>
      <c r="D42" s="33" t="str">
        <f t="shared" si="1"/>
        <v>Q2</v>
      </c>
      <c r="E42" s="34">
        <f t="shared" si="2"/>
        <v>2024</v>
      </c>
      <c r="F42" s="31" t="str">
        <f>PROPER(TRIM('1. Raw Data'!C42))</f>
        <v>Eastgate</v>
      </c>
      <c r="G42" s="31" t="str">
        <f>TRIM('1. Raw Data'!D42)</f>
        <v>Personal Loan</v>
      </c>
      <c r="H42" s="31" t="str">
        <f>TRIM('1. Raw Data'!E42)</f>
        <v>Loans</v>
      </c>
      <c r="I42" s="31" t="str">
        <f>TRIM('1. Raw Data'!F42)</f>
        <v>Maria Lopez</v>
      </c>
      <c r="J42" s="33" t="str">
        <f>PROPER(TRIM('1. Raw Data'!G42))</f>
        <v>Active</v>
      </c>
      <c r="K42" s="33" t="str">
        <f>TRIM('1. Raw Data'!H42)</f>
        <v>Medium</v>
      </c>
      <c r="L42" s="35">
        <f>IFERROR(IF('1. Raw Data'!I42="",AVERAGE(IF('1. Raw Data'!I3:I402&lt;&gt;"",'1. Raw Data'!I3:I402)),VALUE('1. Raw Data'!I42)),0)</f>
        <v>249203.95</v>
      </c>
      <c r="M42" s="36">
        <f>IFERROR(IF('1. Raw Data'!J42="",AVERAGE(IF('1. Raw Data'!J3:J402&lt;&gt;"",'1. Raw Data'!J3:J402)),VALUE('1. Raw Data'!J42)),0)</f>
        <v>11.35</v>
      </c>
      <c r="N42" s="34">
        <f>'1. Raw Data'!K42</f>
        <v>48</v>
      </c>
      <c r="O42" s="35">
        <f t="shared" si="3"/>
        <v>6483.2456411874546</v>
      </c>
      <c r="P42" s="34">
        <f>'1. Raw Data'!L42</f>
        <v>75</v>
      </c>
      <c r="Q42" s="33" t="str">
        <f>TRIM('1. Raw Data'!M42)</f>
        <v>Premium</v>
      </c>
    </row>
    <row r="43" spans="1:17" ht="16.5" customHeight="1" x14ac:dyDescent="0.45">
      <c r="A43" s="25" t="str">
        <f>'1. Raw Data'!A43</f>
        <v>TXN-100041</v>
      </c>
      <c r="B43" s="26">
        <f>IFERROR(DATEVALUE('1. Raw Data'!B43),"")</f>
        <v>45543</v>
      </c>
      <c r="C43" s="27" t="str">
        <f t="shared" si="0"/>
        <v>Sep</v>
      </c>
      <c r="D43" s="27" t="str">
        <f t="shared" si="1"/>
        <v>Q3</v>
      </c>
      <c r="E43" s="28">
        <f t="shared" si="2"/>
        <v>2024</v>
      </c>
      <c r="F43" s="25" t="str">
        <f>PROPER(TRIM('1. Raw Data'!C43))</f>
        <v>Uptown</v>
      </c>
      <c r="G43" s="25" t="str">
        <f>TRIM('1. Raw Data'!D43)</f>
        <v>Mortgage</v>
      </c>
      <c r="H43" s="25" t="str">
        <f>TRIM('1. Raw Data'!E43)</f>
        <v>Loans</v>
      </c>
      <c r="I43" s="25" t="str">
        <f>TRIM('1. Raw Data'!F43)</f>
        <v>Maria Lopez</v>
      </c>
      <c r="J43" s="27" t="str">
        <f>PROPER(TRIM('1. Raw Data'!G43))</f>
        <v>Active</v>
      </c>
      <c r="K43" s="27" t="str">
        <f>TRIM('1. Raw Data'!H43)</f>
        <v>Low</v>
      </c>
      <c r="L43" s="29">
        <f>IFERROR(IF('1. Raw Data'!I43="",AVERAGE(IF('1. Raw Data'!I3:I402&lt;&gt;"",'1. Raw Data'!I3:I402)),VALUE('1. Raw Data'!I43)),0)</f>
        <v>153606.39000000001</v>
      </c>
      <c r="M43" s="30">
        <f>IFERROR(IF('1. Raw Data'!J43="",AVERAGE(IF('1. Raw Data'!J3:J402&lt;&gt;"",'1. Raw Data'!J3:J402)),VALUE('1. Raw Data'!J43)),0)</f>
        <v>9.42</v>
      </c>
      <c r="N43" s="28">
        <f>'1. Raw Data'!K43</f>
        <v>12</v>
      </c>
      <c r="O43" s="29">
        <f t="shared" si="3"/>
        <v>13463.041461400106</v>
      </c>
      <c r="P43" s="28">
        <f>'1. Raw Data'!L43</f>
        <v>36</v>
      </c>
      <c r="Q43" s="27" t="str">
        <f>TRIM('1. Raw Data'!M43)</f>
        <v>Premium</v>
      </c>
    </row>
    <row r="44" spans="1:17" ht="16.5" customHeight="1" x14ac:dyDescent="0.45">
      <c r="A44" s="31" t="str">
        <f>'1. Raw Data'!A44</f>
        <v>TXN-100042</v>
      </c>
      <c r="B44" s="32">
        <f>IFERROR(DATEVALUE('1. Raw Data'!B44),"")</f>
        <v>45488</v>
      </c>
      <c r="C44" s="33" t="str">
        <f t="shared" si="0"/>
        <v>Jul</v>
      </c>
      <c r="D44" s="33" t="str">
        <f t="shared" si="1"/>
        <v>Q3</v>
      </c>
      <c r="E44" s="34">
        <f t="shared" si="2"/>
        <v>2024</v>
      </c>
      <c r="F44" s="31" t="str">
        <f>PROPER(TRIM('1. Raw Data'!C44))</f>
        <v>Eastgate</v>
      </c>
      <c r="G44" s="31" t="str">
        <f>TRIM('1. Raw Data'!D44)</f>
        <v>Savings Account</v>
      </c>
      <c r="H44" s="31" t="str">
        <f>TRIM('1. Raw Data'!E44)</f>
        <v>Deposits</v>
      </c>
      <c r="I44" s="31" t="str">
        <f>TRIM('1. Raw Data'!F44)</f>
        <v>Sarah Chen</v>
      </c>
      <c r="J44" s="33" t="str">
        <f>PROPER(TRIM('1. Raw Data'!G44))</f>
        <v>Active</v>
      </c>
      <c r="K44" s="33" t="str">
        <f>TRIM('1. Raw Data'!H44)</f>
        <v>Low</v>
      </c>
      <c r="L44" s="35">
        <f>IFERROR(IF('1. Raw Data'!I44="",AVERAGE(IF('1. Raw Data'!I3:I402&lt;&gt;"",'1. Raw Data'!I3:I402)),VALUE('1. Raw Data'!I44)),0)</f>
        <v>27111.119999999999</v>
      </c>
      <c r="M44" s="36">
        <f>IFERROR(IF('1. Raw Data'!J44="",AVERAGE(IF('1. Raw Data'!J3:J402&lt;&gt;"",'1. Raw Data'!J3:J402)),VALUE('1. Raw Data'!J44)),0)</f>
        <v>2.56</v>
      </c>
      <c r="N44" s="34">
        <f>'1. Raw Data'!K44</f>
        <v>12</v>
      </c>
      <c r="O44" s="35">
        <f t="shared" si="3"/>
        <v>2290.710802352366</v>
      </c>
      <c r="P44" s="34">
        <f>'1. Raw Data'!L44</f>
        <v>71</v>
      </c>
      <c r="Q44" s="33" t="str">
        <f>TRIM('1. Raw Data'!M44)</f>
        <v>Standard</v>
      </c>
    </row>
    <row r="45" spans="1:17" ht="16.5" customHeight="1" x14ac:dyDescent="0.45">
      <c r="A45" s="25" t="str">
        <f>'1. Raw Data'!A45</f>
        <v>TXN-100043</v>
      </c>
      <c r="B45" s="26">
        <f>IFERROR(DATEVALUE('1. Raw Data'!B45),"")</f>
        <v>45342</v>
      </c>
      <c r="C45" s="27" t="str">
        <f t="shared" si="0"/>
        <v>Feb</v>
      </c>
      <c r="D45" s="27" t="str">
        <f t="shared" si="1"/>
        <v>Q1</v>
      </c>
      <c r="E45" s="28">
        <f t="shared" si="2"/>
        <v>2024</v>
      </c>
      <c r="F45" s="25" t="str">
        <f>PROPER(TRIM('1. Raw Data'!C45))</f>
        <v>Westside</v>
      </c>
      <c r="G45" s="25" t="str">
        <f>TRIM('1. Raw Data'!D45)</f>
        <v>Personal Loan</v>
      </c>
      <c r="H45" s="25" t="str">
        <f>TRIM('1. Raw Data'!E45)</f>
        <v>Loans</v>
      </c>
      <c r="I45" s="25" t="str">
        <f>TRIM('1. Raw Data'!F45)</f>
        <v>Rachel Moore</v>
      </c>
      <c r="J45" s="27" t="str">
        <f>PROPER(TRIM('1. Raw Data'!G45))</f>
        <v>Inactive</v>
      </c>
      <c r="K45" s="27" t="str">
        <f>TRIM('1. Raw Data'!H45)</f>
        <v>Low</v>
      </c>
      <c r="L45" s="29">
        <f>IFERROR(IF('1. Raw Data'!I45="",AVERAGE(IF('1. Raw Data'!I3:I402&lt;&gt;"",'1. Raw Data'!I3:I402)),VALUE('1. Raw Data'!I45)),0)</f>
        <v>28334.09</v>
      </c>
      <c r="M45" s="30">
        <f>IFERROR(IF('1. Raw Data'!J45="",AVERAGE(IF('1. Raw Data'!J3:J402&lt;&gt;"",'1. Raw Data'!J3:J402)),VALUE('1. Raw Data'!J45)),0)</f>
        <v>2.79</v>
      </c>
      <c r="N45" s="28">
        <f>'1. Raw Data'!K45</f>
        <v>36</v>
      </c>
      <c r="O45" s="29">
        <f t="shared" si="3"/>
        <v>821.36993964605369</v>
      </c>
      <c r="P45" s="28">
        <f>'1. Raw Data'!L45</f>
        <v>41</v>
      </c>
      <c r="Q45" s="27" t="str">
        <f>TRIM('1. Raw Data'!M45)</f>
        <v>Standard</v>
      </c>
    </row>
    <row r="46" spans="1:17" ht="16.5" customHeight="1" x14ac:dyDescent="0.45">
      <c r="A46" s="31" t="str">
        <f>'1. Raw Data'!A46</f>
        <v>TXN-100044</v>
      </c>
      <c r="B46" s="32">
        <f>IFERROR(DATEVALUE('1. Raw Data'!B46),"")</f>
        <v>45314</v>
      </c>
      <c r="C46" s="33" t="str">
        <f t="shared" si="0"/>
        <v>Jan</v>
      </c>
      <c r="D46" s="33" t="str">
        <f t="shared" si="1"/>
        <v>Q1</v>
      </c>
      <c r="E46" s="34">
        <f t="shared" si="2"/>
        <v>2024</v>
      </c>
      <c r="F46" s="31" t="str">
        <f>PROPER(TRIM('1. Raw Data'!C46))</f>
        <v>Eastgate</v>
      </c>
      <c r="G46" s="31" t="str">
        <f>TRIM('1. Raw Data'!D46)</f>
        <v>Auto Loan</v>
      </c>
      <c r="H46" s="31" t="str">
        <f>TRIM('1. Raw Data'!E46)</f>
        <v>Loans</v>
      </c>
      <c r="I46" s="31" t="str">
        <f>TRIM('1. Raw Data'!F46)</f>
        <v>James Patel</v>
      </c>
      <c r="J46" s="33" t="str">
        <f>PROPER(TRIM('1. Raw Data'!G46))</f>
        <v>Active</v>
      </c>
      <c r="K46" s="33" t="str">
        <f>TRIM('1. Raw Data'!H46)</f>
        <v>Low</v>
      </c>
      <c r="L46" s="35">
        <f>IFERROR(IF('1. Raw Data'!I46="",AVERAGE(IF('1. Raw Data'!I3:I402&lt;&gt;"",'1. Raw Data'!I3:I402)),VALUE('1. Raw Data'!I46)),0)</f>
        <v>81609.31</v>
      </c>
      <c r="M46" s="36">
        <f>IFERROR(IF('1. Raw Data'!J46="",AVERAGE(IF('1. Raw Data'!J3:J402&lt;&gt;"",'1. Raw Data'!J3:J402)),VALUE('1. Raw Data'!J46)),0)</f>
        <v>13</v>
      </c>
      <c r="N46" s="34">
        <f>'1. Raw Data'!K46</f>
        <v>36</v>
      </c>
      <c r="O46" s="35">
        <f t="shared" si="3"/>
        <v>2749.7401741617696</v>
      </c>
      <c r="P46" s="34">
        <f>'1. Raw Data'!L46</f>
        <v>35</v>
      </c>
      <c r="Q46" s="33" t="str">
        <f>TRIM('1. Raw Data'!M46)</f>
        <v>Standard</v>
      </c>
    </row>
    <row r="47" spans="1:17" ht="16.5" customHeight="1" x14ac:dyDescent="0.45">
      <c r="A47" s="25" t="str">
        <f>'1. Raw Data'!A47</f>
        <v>TXN-100045</v>
      </c>
      <c r="B47" s="26">
        <f>IFERROR(DATEVALUE('1. Raw Data'!B47),"")</f>
        <v>45545</v>
      </c>
      <c r="C47" s="27" t="str">
        <f t="shared" si="0"/>
        <v>Sep</v>
      </c>
      <c r="D47" s="27" t="str">
        <f t="shared" si="1"/>
        <v>Q3</v>
      </c>
      <c r="E47" s="28">
        <f t="shared" si="2"/>
        <v>2024</v>
      </c>
      <c r="F47" s="25" t="str">
        <f>PROPER(TRIM('1. Raw Data'!C47))</f>
        <v>Uptown</v>
      </c>
      <c r="G47" s="25" t="str">
        <f>TRIM('1. Raw Data'!D47)</f>
        <v>Auto Loan</v>
      </c>
      <c r="H47" s="25" t="str">
        <f>TRIM('1. Raw Data'!E47)</f>
        <v>Loans</v>
      </c>
      <c r="I47" s="25" t="str">
        <f>TRIM('1. Raw Data'!F47)</f>
        <v>Rachel Moore</v>
      </c>
      <c r="J47" s="27" t="str">
        <f>PROPER(TRIM('1. Raw Data'!G47))</f>
        <v>Active</v>
      </c>
      <c r="K47" s="27" t="str">
        <f>TRIM('1. Raw Data'!H47)</f>
        <v>High</v>
      </c>
      <c r="L47" s="29">
        <f>IFERROR(IF('1. Raw Data'!I47="",AVERAGE(IF('1. Raw Data'!I3:I402&lt;&gt;"",'1. Raw Data'!I3:I402)),VALUE('1. Raw Data'!I47)),0)</f>
        <v>5625.76</v>
      </c>
      <c r="M47" s="30">
        <f>IFERROR(IF('1. Raw Data'!J47="",AVERAGE(IF('1. Raw Data'!J3:J402&lt;&gt;"",'1. Raw Data'!J3:J402)),VALUE('1. Raw Data'!J47)),0)</f>
        <v>9.4700000000000006</v>
      </c>
      <c r="N47" s="28">
        <f>'1. Raw Data'!K47</f>
        <v>60</v>
      </c>
      <c r="O47" s="29">
        <f t="shared" si="3"/>
        <v>118.06897049632083</v>
      </c>
      <c r="P47" s="28">
        <f>'1. Raw Data'!L47</f>
        <v>31</v>
      </c>
      <c r="Q47" s="27" t="str">
        <f>TRIM('1. Raw Data'!M47)</f>
        <v>Basic</v>
      </c>
    </row>
    <row r="48" spans="1:17" ht="16.5" customHeight="1" x14ac:dyDescent="0.45">
      <c r="A48" s="31" t="str">
        <f>'1. Raw Data'!A48</f>
        <v>TXN-100046</v>
      </c>
      <c r="B48" s="32">
        <f>IFERROR(DATEVALUE('1. Raw Data'!B48),"")</f>
        <v>45466</v>
      </c>
      <c r="C48" s="33" t="str">
        <f t="shared" si="0"/>
        <v>Jun</v>
      </c>
      <c r="D48" s="33" t="str">
        <f t="shared" si="1"/>
        <v>Q2</v>
      </c>
      <c r="E48" s="34">
        <f t="shared" si="2"/>
        <v>2024</v>
      </c>
      <c r="F48" s="31" t="str">
        <f>PROPER(TRIM('1. Raw Data'!C48))</f>
        <v>Northpark</v>
      </c>
      <c r="G48" s="31" t="str">
        <f>TRIM('1. Raw Data'!D48)</f>
        <v>Credit Card</v>
      </c>
      <c r="H48" s="31" t="str">
        <f>TRIM('1. Raw Data'!E48)</f>
        <v>Cards</v>
      </c>
      <c r="I48" s="31" t="str">
        <f>TRIM('1. Raw Data'!F48)</f>
        <v>Maria Lopez</v>
      </c>
      <c r="J48" s="33" t="str">
        <f>PROPER(TRIM('1. Raw Data'!G48))</f>
        <v>Active</v>
      </c>
      <c r="K48" s="33" t="str">
        <f>TRIM('1. Raw Data'!H48)</f>
        <v>High</v>
      </c>
      <c r="L48" s="35">
        <f>IFERROR(IF('1. Raw Data'!I48="",AVERAGE(IF('1. Raw Data'!I3:I402&lt;&gt;"",'1. Raw Data'!I3:I402)),VALUE('1. Raw Data'!I48)),0)</f>
        <v>238835.01</v>
      </c>
      <c r="M48" s="36">
        <f>IFERROR(IF('1. Raw Data'!J48="",AVERAGE(IF('1. Raw Data'!J3:J402&lt;&gt;"",'1. Raw Data'!J3:J402)),VALUE('1. Raw Data'!J48)),0)</f>
        <v>10.42</v>
      </c>
      <c r="N48" s="34">
        <f>'1. Raw Data'!K48</f>
        <v>240</v>
      </c>
      <c r="O48" s="35">
        <f t="shared" si="3"/>
        <v>2371.6599627712153</v>
      </c>
      <c r="P48" s="34">
        <f>'1. Raw Data'!L48</f>
        <v>40</v>
      </c>
      <c r="Q48" s="33" t="str">
        <f>TRIM('1. Raw Data'!M48)</f>
        <v>Premium</v>
      </c>
    </row>
    <row r="49" spans="1:17" ht="16.5" customHeight="1" x14ac:dyDescent="0.45">
      <c r="A49" s="25" t="str">
        <f>'1. Raw Data'!A49</f>
        <v>TXN-100047</v>
      </c>
      <c r="B49" s="26">
        <f>IFERROR(DATEVALUE('1. Raw Data'!B49),"")</f>
        <v>45501</v>
      </c>
      <c r="C49" s="27" t="str">
        <f t="shared" si="0"/>
        <v>Jul</v>
      </c>
      <c r="D49" s="27" t="str">
        <f t="shared" si="1"/>
        <v>Q3</v>
      </c>
      <c r="E49" s="28">
        <f t="shared" si="2"/>
        <v>2024</v>
      </c>
      <c r="F49" s="25" t="str">
        <f>PROPER(TRIM('1. Raw Data'!C49))</f>
        <v>Downtown</v>
      </c>
      <c r="G49" s="25" t="str">
        <f>TRIM('1. Raw Data'!D49)</f>
        <v>Personal Loan</v>
      </c>
      <c r="H49" s="25" t="str">
        <f>TRIM('1. Raw Data'!E49)</f>
        <v>Loans</v>
      </c>
      <c r="I49" s="25" t="str">
        <f>TRIM('1. Raw Data'!F49)</f>
        <v>Sarah Chen</v>
      </c>
      <c r="J49" s="27" t="str">
        <f>PROPER(TRIM('1. Raw Data'!G49))</f>
        <v>Active</v>
      </c>
      <c r="K49" s="27" t="str">
        <f>TRIM('1. Raw Data'!H49)</f>
        <v>Medium</v>
      </c>
      <c r="L49" s="29">
        <f>IFERROR(IF('1. Raw Data'!I49="",AVERAGE(IF('1. Raw Data'!I3:I402&lt;&gt;"",'1. Raw Data'!I3:I402)),VALUE('1. Raw Data'!I49)),0)</f>
        <v>136255.47</v>
      </c>
      <c r="M49" s="30">
        <f>IFERROR(IF('1. Raw Data'!J49="",AVERAGE(IF('1. Raw Data'!J3:J402&lt;&gt;"",'1. Raw Data'!J3:J402)),VALUE('1. Raw Data'!J49)),0)</f>
        <v>6.86</v>
      </c>
      <c r="N49" s="28">
        <f>'1. Raw Data'!K49</f>
        <v>360</v>
      </c>
      <c r="O49" s="29">
        <f t="shared" si="3"/>
        <v>893.7362081397273</v>
      </c>
      <c r="P49" s="28">
        <f>'1. Raw Data'!L49</f>
        <v>63</v>
      </c>
      <c r="Q49" s="27" t="str">
        <f>TRIM('1. Raw Data'!M49)</f>
        <v>Premium</v>
      </c>
    </row>
    <row r="50" spans="1:17" ht="16.5" customHeight="1" x14ac:dyDescent="0.45">
      <c r="A50" s="31" t="str">
        <f>'1. Raw Data'!A50</f>
        <v>TXN-100048</v>
      </c>
      <c r="B50" s="32">
        <f>IFERROR(DATEVALUE('1. Raw Data'!B50),"")</f>
        <v>45303</v>
      </c>
      <c r="C50" s="33" t="str">
        <f t="shared" si="0"/>
        <v>Jan</v>
      </c>
      <c r="D50" s="33" t="str">
        <f t="shared" si="1"/>
        <v>Q1</v>
      </c>
      <c r="E50" s="34">
        <f t="shared" si="2"/>
        <v>2024</v>
      </c>
      <c r="F50" s="31" t="str">
        <f>PROPER(TRIM('1. Raw Data'!C50))</f>
        <v>Westside</v>
      </c>
      <c r="G50" s="31" t="str">
        <f>TRIM('1. Raw Data'!D50)</f>
        <v>Personal Loan</v>
      </c>
      <c r="H50" s="31" t="str">
        <f>TRIM('1. Raw Data'!E50)</f>
        <v>Loans</v>
      </c>
      <c r="I50" s="31" t="str">
        <f>TRIM('1. Raw Data'!F50)</f>
        <v>Sarah Chen</v>
      </c>
      <c r="J50" s="33" t="str">
        <f>PROPER(TRIM('1. Raw Data'!G50))</f>
        <v>Active</v>
      </c>
      <c r="K50" s="33" t="str">
        <f>TRIM('1. Raw Data'!H50)</f>
        <v>Low</v>
      </c>
      <c r="L50" s="35">
        <f>IFERROR(IF('1. Raw Data'!I50="",AVERAGE(IF('1. Raw Data'!I3:I402&lt;&gt;"",'1. Raw Data'!I3:I402)),VALUE('1. Raw Data'!I50)),0)</f>
        <v>97914.83</v>
      </c>
      <c r="M50" s="36">
        <f>IFERROR(IF('1. Raw Data'!J50="",AVERAGE(IF('1. Raw Data'!J3:J402&lt;&gt;"",'1. Raw Data'!J3:J402)),VALUE('1. Raw Data'!J50)),0)</f>
        <v>9.32</v>
      </c>
      <c r="N50" s="34">
        <f>'1. Raw Data'!K50</f>
        <v>360</v>
      </c>
      <c r="O50" s="35">
        <f t="shared" si="3"/>
        <v>810.49292650411167</v>
      </c>
      <c r="P50" s="34">
        <f>'1. Raw Data'!L50</f>
        <v>29</v>
      </c>
      <c r="Q50" s="33" t="str">
        <f>TRIM('1. Raw Data'!M50)</f>
        <v>Standard</v>
      </c>
    </row>
    <row r="51" spans="1:17" ht="16.5" customHeight="1" x14ac:dyDescent="0.45">
      <c r="A51" s="25" t="str">
        <f>'1. Raw Data'!A51</f>
        <v>TXN-100049</v>
      </c>
      <c r="B51" s="26">
        <f>IFERROR(DATEVALUE('1. Raw Data'!B51),"")</f>
        <v>45552</v>
      </c>
      <c r="C51" s="27" t="str">
        <f t="shared" si="0"/>
        <v>Sep</v>
      </c>
      <c r="D51" s="27" t="str">
        <f t="shared" si="1"/>
        <v>Q3</v>
      </c>
      <c r="E51" s="28">
        <f t="shared" si="2"/>
        <v>2024</v>
      </c>
      <c r="F51" s="25" t="str">
        <f>PROPER(TRIM('1. Raw Data'!C51))</f>
        <v>Uptown</v>
      </c>
      <c r="G51" s="25" t="str">
        <f>TRIM('1. Raw Data'!D51)</f>
        <v>Personal Loan</v>
      </c>
      <c r="H51" s="25" t="str">
        <f>TRIM('1. Raw Data'!E51)</f>
        <v>Loans</v>
      </c>
      <c r="I51" s="25" t="str">
        <f>TRIM('1. Raw Data'!F51)</f>
        <v>James Patel</v>
      </c>
      <c r="J51" s="27" t="str">
        <f>PROPER(TRIM('1. Raw Data'!G51))</f>
        <v>Active</v>
      </c>
      <c r="K51" s="27" t="str">
        <f>TRIM('1. Raw Data'!H51)</f>
        <v>Low</v>
      </c>
      <c r="L51" s="29">
        <f>IFERROR(IF('1. Raw Data'!I51="",AVERAGE(IF('1. Raw Data'!I3:I402&lt;&gt;"",'1. Raw Data'!I3:I402)),VALUE('1. Raw Data'!I51)),0)</f>
        <v>133993.39000000001</v>
      </c>
      <c r="M51" s="30">
        <f>IFERROR(IF('1. Raw Data'!J51="",AVERAGE(IF('1. Raw Data'!J3:J402&lt;&gt;"",'1. Raw Data'!J3:J402)),VALUE('1. Raw Data'!J51)),0)</f>
        <v>4.1399999999999997</v>
      </c>
      <c r="N51" s="28">
        <f>'1. Raw Data'!K51</f>
        <v>120</v>
      </c>
      <c r="O51" s="29">
        <f t="shared" si="3"/>
        <v>1365.5512052128067</v>
      </c>
      <c r="P51" s="28">
        <f>'1. Raw Data'!L51</f>
        <v>55</v>
      </c>
      <c r="Q51" s="27" t="str">
        <f>TRIM('1. Raw Data'!M51)</f>
        <v>Premium</v>
      </c>
    </row>
    <row r="52" spans="1:17" ht="16.5" customHeight="1" x14ac:dyDescent="0.45">
      <c r="A52" s="31" t="str">
        <f>'1. Raw Data'!A52</f>
        <v>TXN-100050</v>
      </c>
      <c r="B52" s="32">
        <f>IFERROR(DATEVALUE('1. Raw Data'!B52),"")</f>
        <v>45599</v>
      </c>
      <c r="C52" s="33" t="str">
        <f t="shared" si="0"/>
        <v>Nov</v>
      </c>
      <c r="D52" s="33" t="str">
        <f t="shared" si="1"/>
        <v>Q4</v>
      </c>
      <c r="E52" s="34">
        <f t="shared" si="2"/>
        <v>2024</v>
      </c>
      <c r="F52" s="31" t="str">
        <f>PROPER(TRIM('1. Raw Data'!C52))</f>
        <v>Westside</v>
      </c>
      <c r="G52" s="31" t="str">
        <f>TRIM('1. Raw Data'!D52)</f>
        <v>Checking Account</v>
      </c>
      <c r="H52" s="31" t="str">
        <f>TRIM('1. Raw Data'!E52)</f>
        <v>Deposits</v>
      </c>
      <c r="I52" s="31" t="str">
        <f>TRIM('1. Raw Data'!F52)</f>
        <v>David Kim</v>
      </c>
      <c r="J52" s="33" t="str">
        <f>PROPER(TRIM('1. Raw Data'!G52))</f>
        <v>Active</v>
      </c>
      <c r="K52" s="33" t="str">
        <f>TRIM('1. Raw Data'!H52)</f>
        <v>Medium</v>
      </c>
      <c r="L52" s="35">
        <f>IFERROR(IF('1. Raw Data'!I52="",AVERAGE(IF('1. Raw Data'!I3:I402&lt;&gt;"",'1. Raw Data'!I3:I402)),VALUE('1. Raw Data'!I52)),0)</f>
        <v>125196.99</v>
      </c>
      <c r="M52" s="36">
        <f>IFERROR(IF('1. Raw Data'!J52="",AVERAGE(IF('1. Raw Data'!J3:J402&lt;&gt;"",'1. Raw Data'!J3:J402)),VALUE('1. Raw Data'!J52)),0)</f>
        <v>5.97</v>
      </c>
      <c r="N52" s="34">
        <f>'1. Raw Data'!K52</f>
        <v>240</v>
      </c>
      <c r="O52" s="35">
        <f t="shared" si="3"/>
        <v>894.78466381979547</v>
      </c>
      <c r="P52" s="34">
        <f>'1. Raw Data'!L52</f>
        <v>24</v>
      </c>
      <c r="Q52" s="33" t="str">
        <f>TRIM('1. Raw Data'!M52)</f>
        <v>Premium</v>
      </c>
    </row>
    <row r="53" spans="1:17" ht="16.5" customHeight="1" x14ac:dyDescent="0.45">
      <c r="A53" s="25" t="str">
        <f>'1. Raw Data'!A53</f>
        <v>TXN-100051</v>
      </c>
      <c r="B53" s="26">
        <f>IFERROR(DATEVALUE('1. Raw Data'!B53),"")</f>
        <v>45318</v>
      </c>
      <c r="C53" s="27" t="str">
        <f t="shared" si="0"/>
        <v>Jan</v>
      </c>
      <c r="D53" s="27" t="str">
        <f t="shared" si="1"/>
        <v>Q1</v>
      </c>
      <c r="E53" s="28">
        <f t="shared" si="2"/>
        <v>2024</v>
      </c>
      <c r="F53" s="25" t="str">
        <f>PROPER(TRIM('1. Raw Data'!C53))</f>
        <v>Uptown</v>
      </c>
      <c r="G53" s="25" t="str">
        <f>TRIM('1. Raw Data'!D53)</f>
        <v>Auto Loan</v>
      </c>
      <c r="H53" s="25" t="str">
        <f>TRIM('1. Raw Data'!E53)</f>
        <v>Loans</v>
      </c>
      <c r="I53" s="25" t="str">
        <f>TRIM('1. Raw Data'!F53)</f>
        <v>Rachel Moore</v>
      </c>
      <c r="J53" s="27" t="str">
        <f>PROPER(TRIM('1. Raw Data'!G53))</f>
        <v>Active</v>
      </c>
      <c r="K53" s="27" t="str">
        <f>TRIM('1. Raw Data'!H53)</f>
        <v>Low</v>
      </c>
      <c r="L53" s="29">
        <f>IFERROR(IF('1. Raw Data'!I53="",AVERAGE(IF('1. Raw Data'!I3:I402&lt;&gt;"",'1. Raw Data'!I3:I402)),VALUE('1. Raw Data'!I53)),0)</f>
        <v>54418.04</v>
      </c>
      <c r="M53" s="30">
        <f>IFERROR(IF('1. Raw Data'!J53="",AVERAGE(IF('1. Raw Data'!J3:J402&lt;&gt;"",'1. Raw Data'!J3:J402)),VALUE('1. Raw Data'!J53)),0)</f>
        <v>10.95</v>
      </c>
      <c r="N53" s="28">
        <f>'1. Raw Data'!K53</f>
        <v>6</v>
      </c>
      <c r="O53" s="29">
        <f t="shared" si="3"/>
        <v>9361.5285684035189</v>
      </c>
      <c r="P53" s="28">
        <f>'1. Raw Data'!L53</f>
        <v>50</v>
      </c>
      <c r="Q53" s="27" t="str">
        <f>TRIM('1. Raw Data'!M53)</f>
        <v>Standard</v>
      </c>
    </row>
    <row r="54" spans="1:17" ht="16.5" customHeight="1" x14ac:dyDescent="0.45">
      <c r="A54" s="31" t="str">
        <f>'1. Raw Data'!A54</f>
        <v>TXN-100052</v>
      </c>
      <c r="B54" s="32">
        <f>IFERROR(DATEVALUE('1. Raw Data'!B54),"")</f>
        <v>45372</v>
      </c>
      <c r="C54" s="33" t="str">
        <f t="shared" si="0"/>
        <v>Mar</v>
      </c>
      <c r="D54" s="33" t="str">
        <f t="shared" si="1"/>
        <v>Q1</v>
      </c>
      <c r="E54" s="34">
        <f t="shared" si="2"/>
        <v>2024</v>
      </c>
      <c r="F54" s="31" t="str">
        <f>PROPER(TRIM('1. Raw Data'!C54))</f>
        <v>Downtown</v>
      </c>
      <c r="G54" s="31" t="str">
        <f>TRIM('1. Raw Data'!D54)</f>
        <v>Mortgage</v>
      </c>
      <c r="H54" s="31" t="str">
        <f>TRIM('1. Raw Data'!E54)</f>
        <v>Loans</v>
      </c>
      <c r="I54" s="31" t="str">
        <f>TRIM('1. Raw Data'!F54)</f>
        <v>Sarah Chen</v>
      </c>
      <c r="J54" s="33" t="str">
        <f>PROPER(TRIM('1. Raw Data'!G54))</f>
        <v>Active</v>
      </c>
      <c r="K54" s="33" t="str">
        <f>TRIM('1. Raw Data'!H54)</f>
        <v>Low</v>
      </c>
      <c r="L54" s="35">
        <f>IFERROR(IF('1. Raw Data'!I54="",AVERAGE(IF('1. Raw Data'!I3:I402&lt;&gt;"",'1. Raw Data'!I3:I402)),VALUE('1. Raw Data'!I54)),0)</f>
        <v>108139.41</v>
      </c>
      <c r="M54" s="36">
        <f>IFERROR(IF('1. Raw Data'!J54="",AVERAGE(IF('1. Raw Data'!J3:J402&lt;&gt;"",'1. Raw Data'!J3:J402)),VALUE('1. Raw Data'!J54)),0)</f>
        <v>12.71</v>
      </c>
      <c r="N54" s="34">
        <f>'1. Raw Data'!K54</f>
        <v>240</v>
      </c>
      <c r="O54" s="35">
        <f t="shared" si="3"/>
        <v>1244.6607373275119</v>
      </c>
      <c r="P54" s="34">
        <f>'1. Raw Data'!L54</f>
        <v>51</v>
      </c>
      <c r="Q54" s="33" t="str">
        <f>TRIM('1. Raw Data'!M54)</f>
        <v>Premium</v>
      </c>
    </row>
    <row r="55" spans="1:17" ht="16.5" customHeight="1" x14ac:dyDescent="0.45">
      <c r="A55" s="25" t="str">
        <f>'1. Raw Data'!A55</f>
        <v>TXN-100053</v>
      </c>
      <c r="B55" s="26">
        <f>IFERROR(DATEVALUE('1. Raw Data'!B55),"")</f>
        <v>45604</v>
      </c>
      <c r="C55" s="27" t="str">
        <f t="shared" si="0"/>
        <v>Nov</v>
      </c>
      <c r="D55" s="27" t="str">
        <f t="shared" si="1"/>
        <v>Q4</v>
      </c>
      <c r="E55" s="28">
        <f t="shared" si="2"/>
        <v>2024</v>
      </c>
      <c r="F55" s="25" t="str">
        <f>PROPER(TRIM('1. Raw Data'!C55))</f>
        <v>Downtown</v>
      </c>
      <c r="G55" s="25" t="str">
        <f>TRIM('1. Raw Data'!D55)</f>
        <v>Credit Card</v>
      </c>
      <c r="H55" s="25" t="str">
        <f>TRIM('1. Raw Data'!E55)</f>
        <v>Cards</v>
      </c>
      <c r="I55" s="25" t="str">
        <f>TRIM('1. Raw Data'!F55)</f>
        <v>Sarah Chen</v>
      </c>
      <c r="J55" s="27" t="str">
        <f>PROPER(TRIM('1. Raw Data'!G55))</f>
        <v>Inactive</v>
      </c>
      <c r="K55" s="27" t="str">
        <f>TRIM('1. Raw Data'!H55)</f>
        <v>Low</v>
      </c>
      <c r="L55" s="29">
        <f>IFERROR(IF('1. Raw Data'!I55="",AVERAGE(IF('1. Raw Data'!I3:I402&lt;&gt;"",'1. Raw Data'!I3:I402)),VALUE('1. Raw Data'!I55)),0)</f>
        <v>142609.84</v>
      </c>
      <c r="M55" s="30">
        <f>IFERROR(IF('1. Raw Data'!J55="",AVERAGE(IF('1. Raw Data'!J3:J402&lt;&gt;"",'1. Raw Data'!J3:J402)),VALUE('1. Raw Data'!J55)),0)</f>
        <v>12.26</v>
      </c>
      <c r="N55" s="28">
        <f>'1. Raw Data'!K55</f>
        <v>180</v>
      </c>
      <c r="O55" s="29">
        <f t="shared" si="3"/>
        <v>1735.4845559411492</v>
      </c>
      <c r="P55" s="28">
        <f>'1. Raw Data'!L55</f>
        <v>70</v>
      </c>
      <c r="Q55" s="27" t="str">
        <f>TRIM('1. Raw Data'!M55)</f>
        <v>Premium</v>
      </c>
    </row>
    <row r="56" spans="1:17" ht="16.5" customHeight="1" x14ac:dyDescent="0.45">
      <c r="A56" s="31" t="str">
        <f>'1. Raw Data'!A56</f>
        <v>TXN-100054</v>
      </c>
      <c r="B56" s="32">
        <f>IFERROR(DATEVALUE('1. Raw Data'!B56),"")</f>
        <v>45562</v>
      </c>
      <c r="C56" s="33" t="str">
        <f t="shared" si="0"/>
        <v>Sep</v>
      </c>
      <c r="D56" s="33" t="str">
        <f t="shared" si="1"/>
        <v>Q3</v>
      </c>
      <c r="E56" s="34">
        <f t="shared" si="2"/>
        <v>2024</v>
      </c>
      <c r="F56" s="31" t="str">
        <f>PROPER(TRIM('1. Raw Data'!C56))</f>
        <v>Downtown</v>
      </c>
      <c r="G56" s="31" t="str">
        <f>TRIM('1. Raw Data'!D56)</f>
        <v>Auto Loan</v>
      </c>
      <c r="H56" s="31" t="str">
        <f>TRIM('1. Raw Data'!E56)</f>
        <v>Loans</v>
      </c>
      <c r="I56" s="31" t="str">
        <f>TRIM('1. Raw Data'!F56)</f>
        <v>Rachel Moore</v>
      </c>
      <c r="J56" s="33" t="str">
        <f>PROPER(TRIM('1. Raw Data'!G56))</f>
        <v>Pending</v>
      </c>
      <c r="K56" s="33" t="str">
        <f>TRIM('1. Raw Data'!H56)</f>
        <v>Medium</v>
      </c>
      <c r="L56" s="35">
        <f>IFERROR(IF('1. Raw Data'!I56="",AVERAGE(IF('1. Raw Data'!I3:I402&lt;&gt;"",'1. Raw Data'!I3:I402)),VALUE('1. Raw Data'!I56)),0)</f>
        <v>50622.52</v>
      </c>
      <c r="M56" s="36">
        <f>IFERROR(IF('1. Raw Data'!J56="",AVERAGE(IF('1. Raw Data'!J3:J402&lt;&gt;"",'1. Raw Data'!J3:J402)),VALUE('1. Raw Data'!J56)),0)</f>
        <v>7.27</v>
      </c>
      <c r="N56" s="34">
        <f>'1. Raw Data'!K56</f>
        <v>48</v>
      </c>
      <c r="O56" s="35">
        <f t="shared" si="3"/>
        <v>1218.5706281127702</v>
      </c>
      <c r="P56" s="34">
        <f>'1. Raw Data'!L56</f>
        <v>33</v>
      </c>
      <c r="Q56" s="33" t="str">
        <f>TRIM('1. Raw Data'!M56)</f>
        <v>Standard</v>
      </c>
    </row>
    <row r="57" spans="1:17" ht="16.5" customHeight="1" x14ac:dyDescent="0.45">
      <c r="A57" s="25" t="str">
        <f>'1. Raw Data'!A57</f>
        <v>TXN-100055</v>
      </c>
      <c r="B57" s="26">
        <f>IFERROR(DATEVALUE('1. Raw Data'!B57),"")</f>
        <v>45376</v>
      </c>
      <c r="C57" s="27" t="str">
        <f t="shared" si="0"/>
        <v>Mar</v>
      </c>
      <c r="D57" s="27" t="str">
        <f t="shared" si="1"/>
        <v>Q1</v>
      </c>
      <c r="E57" s="28">
        <f t="shared" si="2"/>
        <v>2024</v>
      </c>
      <c r="F57" s="25" t="str">
        <f>PROPER(TRIM('1. Raw Data'!C57))</f>
        <v>Westside</v>
      </c>
      <c r="G57" s="25" t="str">
        <f>TRIM('1. Raw Data'!D57)</f>
        <v>Credit Card</v>
      </c>
      <c r="H57" s="25" t="str">
        <f>TRIM('1. Raw Data'!E57)</f>
        <v>Cards</v>
      </c>
      <c r="I57" s="25" t="str">
        <f>TRIM('1. Raw Data'!F57)</f>
        <v>David Kim</v>
      </c>
      <c r="J57" s="27" t="str">
        <f>PROPER(TRIM('1. Raw Data'!G57))</f>
        <v>Active</v>
      </c>
      <c r="K57" s="27" t="str">
        <f>TRIM('1. Raw Data'!H57)</f>
        <v>High</v>
      </c>
      <c r="L57" s="29">
        <f>IFERROR(IF('1. Raw Data'!I57="",AVERAGE(IF('1. Raw Data'!I3:I402&lt;&gt;"",'1. Raw Data'!I3:I402)),VALUE('1. Raw Data'!I57)),0)</f>
        <v>243887.25</v>
      </c>
      <c r="M57" s="30">
        <f>IFERROR(IF('1. Raw Data'!J57="",AVERAGE(IF('1. Raw Data'!J3:J402&lt;&gt;"",'1. Raw Data'!J3:J402)),VALUE('1. Raw Data'!J57)),0)</f>
        <v>0</v>
      </c>
      <c r="N57" s="28">
        <f>'1. Raw Data'!K57</f>
        <v>36</v>
      </c>
      <c r="O57" s="29">
        <f t="shared" si="3"/>
        <v>0</v>
      </c>
      <c r="P57" s="28">
        <f>'1. Raw Data'!L57</f>
        <v>33</v>
      </c>
      <c r="Q57" s="27" t="str">
        <f>TRIM('1. Raw Data'!M57)</f>
        <v>Premium</v>
      </c>
    </row>
    <row r="58" spans="1:17" ht="16.5" customHeight="1" x14ac:dyDescent="0.45">
      <c r="A58" s="31" t="str">
        <f>'1. Raw Data'!A58</f>
        <v>TXN-100056</v>
      </c>
      <c r="B58" s="32">
        <f>IFERROR(DATEVALUE('1. Raw Data'!B58),"")</f>
        <v>45485</v>
      </c>
      <c r="C58" s="33" t="str">
        <f t="shared" si="0"/>
        <v>Jul</v>
      </c>
      <c r="D58" s="33" t="str">
        <f t="shared" si="1"/>
        <v>Q3</v>
      </c>
      <c r="E58" s="34">
        <f t="shared" si="2"/>
        <v>2024</v>
      </c>
      <c r="F58" s="31" t="str">
        <f>PROPER(TRIM('1. Raw Data'!C58))</f>
        <v>Northpark</v>
      </c>
      <c r="G58" s="31" t="str">
        <f>TRIM('1. Raw Data'!D58)</f>
        <v>Mortgage</v>
      </c>
      <c r="H58" s="31" t="str">
        <f>TRIM('1. Raw Data'!E58)</f>
        <v>Loans</v>
      </c>
      <c r="I58" s="31" t="str">
        <f>TRIM('1. Raw Data'!F58)</f>
        <v>Maria Lopez</v>
      </c>
      <c r="J58" s="33" t="str">
        <f>PROPER(TRIM('1. Raw Data'!G58))</f>
        <v>Active</v>
      </c>
      <c r="K58" s="33" t="str">
        <f>TRIM('1. Raw Data'!H58)</f>
        <v>Medium</v>
      </c>
      <c r="L58" s="35">
        <f>IFERROR(IF('1. Raw Data'!I58="",AVERAGE(IF('1. Raw Data'!I3:I402&lt;&gt;"",'1. Raw Data'!I3:I402)),VALUE('1. Raw Data'!I58)),0)</f>
        <v>100573.87</v>
      </c>
      <c r="M58" s="36">
        <f>IFERROR(IF('1. Raw Data'!J58="",AVERAGE(IF('1. Raw Data'!J3:J402&lt;&gt;"",'1. Raw Data'!J3:J402)),VALUE('1. Raw Data'!J58)),0)</f>
        <v>12.67</v>
      </c>
      <c r="N58" s="34">
        <f>'1. Raw Data'!K58</f>
        <v>60</v>
      </c>
      <c r="O58" s="35">
        <f t="shared" si="3"/>
        <v>2271.4105548618354</v>
      </c>
      <c r="P58" s="34">
        <f>'1. Raw Data'!L58</f>
        <v>72</v>
      </c>
      <c r="Q58" s="33" t="str">
        <f>TRIM('1. Raw Data'!M58)</f>
        <v>Premium</v>
      </c>
    </row>
    <row r="59" spans="1:17" ht="16.5" customHeight="1" x14ac:dyDescent="0.45">
      <c r="A59" s="25" t="str">
        <f>'1. Raw Data'!A59</f>
        <v>TXN-100057</v>
      </c>
      <c r="B59" s="26">
        <f>IFERROR(DATEVALUE('1. Raw Data'!B59),"")</f>
        <v>45374</v>
      </c>
      <c r="C59" s="27" t="str">
        <f t="shared" si="0"/>
        <v>Mar</v>
      </c>
      <c r="D59" s="27" t="str">
        <f t="shared" si="1"/>
        <v>Q1</v>
      </c>
      <c r="E59" s="28">
        <f t="shared" si="2"/>
        <v>2024</v>
      </c>
      <c r="F59" s="25" t="str">
        <f>PROPER(TRIM('1. Raw Data'!C59))</f>
        <v>Eastgate</v>
      </c>
      <c r="G59" s="25" t="str">
        <f>TRIM('1. Raw Data'!D59)</f>
        <v>Auto Loan</v>
      </c>
      <c r="H59" s="25" t="str">
        <f>TRIM('1. Raw Data'!E59)</f>
        <v>Loans</v>
      </c>
      <c r="I59" s="25" t="str">
        <f>TRIM('1. Raw Data'!F59)</f>
        <v>James Patel</v>
      </c>
      <c r="J59" s="27" t="str">
        <f>PROPER(TRIM('1. Raw Data'!G59))</f>
        <v>Active</v>
      </c>
      <c r="K59" s="27" t="str">
        <f>TRIM('1. Raw Data'!H59)</f>
        <v>High</v>
      </c>
      <c r="L59" s="29">
        <f>IFERROR(IF('1. Raw Data'!I59="",AVERAGE(IF('1. Raw Data'!I3:I402&lt;&gt;"",'1. Raw Data'!I3:I402)),VALUE('1. Raw Data'!I59)),0)</f>
        <v>154461.28</v>
      </c>
      <c r="M59" s="30">
        <f>IFERROR(IF('1. Raw Data'!J59="",AVERAGE(IF('1. Raw Data'!J3:J402&lt;&gt;"",'1. Raw Data'!J3:J402)),VALUE('1. Raw Data'!J59)),0)</f>
        <v>8.2899999999999991</v>
      </c>
      <c r="N59" s="28">
        <f>'1. Raw Data'!K59</f>
        <v>240</v>
      </c>
      <c r="O59" s="29">
        <f t="shared" si="3"/>
        <v>1319.9921937447948</v>
      </c>
      <c r="P59" s="28">
        <f>'1. Raw Data'!L59</f>
        <v>64</v>
      </c>
      <c r="Q59" s="27" t="str">
        <f>TRIM('1. Raw Data'!M59)</f>
        <v>Premium</v>
      </c>
    </row>
    <row r="60" spans="1:17" ht="16.5" customHeight="1" x14ac:dyDescent="0.45">
      <c r="A60" s="31" t="str">
        <f>'1. Raw Data'!A60</f>
        <v>TXN-100058</v>
      </c>
      <c r="B60" s="32">
        <f>IFERROR(DATEVALUE('1. Raw Data'!B60),"")</f>
        <v>45450</v>
      </c>
      <c r="C60" s="33" t="str">
        <f t="shared" si="0"/>
        <v>Jun</v>
      </c>
      <c r="D60" s="33" t="str">
        <f t="shared" si="1"/>
        <v>Q2</v>
      </c>
      <c r="E60" s="34">
        <f t="shared" si="2"/>
        <v>2024</v>
      </c>
      <c r="F60" s="31" t="str">
        <f>PROPER(TRIM('1. Raw Data'!C60))</f>
        <v>Eastgate</v>
      </c>
      <c r="G60" s="31" t="str">
        <f>TRIM('1. Raw Data'!D60)</f>
        <v>Auto Loan</v>
      </c>
      <c r="H60" s="31" t="str">
        <f>TRIM('1. Raw Data'!E60)</f>
        <v>Loans</v>
      </c>
      <c r="I60" s="31" t="str">
        <f>TRIM('1. Raw Data'!F60)</f>
        <v>David Kim</v>
      </c>
      <c r="J60" s="33" t="str">
        <f>PROPER(TRIM('1. Raw Data'!G60))</f>
        <v>Active</v>
      </c>
      <c r="K60" s="33" t="str">
        <f>TRIM('1. Raw Data'!H60)</f>
        <v>Medium</v>
      </c>
      <c r="L60" s="35">
        <f>IFERROR(IF('1. Raw Data'!I60="",AVERAGE(IF('1. Raw Data'!I3:I402&lt;&gt;"",'1. Raw Data'!I3:I402)),VALUE('1. Raw Data'!I60)),0)</f>
        <v>176157.79</v>
      </c>
      <c r="M60" s="36">
        <f>IFERROR(IF('1. Raw Data'!J60="",AVERAGE(IF('1. Raw Data'!J3:J402&lt;&gt;"",'1. Raw Data'!J3:J402)),VALUE('1. Raw Data'!J60)),0)</f>
        <v>3.53</v>
      </c>
      <c r="N60" s="34">
        <f>'1. Raw Data'!K60</f>
        <v>36</v>
      </c>
      <c r="O60" s="35">
        <f t="shared" si="3"/>
        <v>5164.1298869920038</v>
      </c>
      <c r="P60" s="34">
        <f>'1. Raw Data'!L60</f>
        <v>72</v>
      </c>
      <c r="Q60" s="33" t="str">
        <f>TRIM('1. Raw Data'!M60)</f>
        <v>Premium</v>
      </c>
    </row>
    <row r="61" spans="1:17" ht="16.5" customHeight="1" x14ac:dyDescent="0.45">
      <c r="A61" s="25" t="str">
        <f>'1. Raw Data'!A61</f>
        <v>TXN-100059</v>
      </c>
      <c r="B61" s="26">
        <f>IFERROR(DATEVALUE('1. Raw Data'!B61),"")</f>
        <v>45628</v>
      </c>
      <c r="C61" s="27" t="str">
        <f t="shared" si="0"/>
        <v>Dec</v>
      </c>
      <c r="D61" s="27" t="str">
        <f t="shared" si="1"/>
        <v>Q4</v>
      </c>
      <c r="E61" s="28">
        <f t="shared" si="2"/>
        <v>2024</v>
      </c>
      <c r="F61" s="25" t="str">
        <f>PROPER(TRIM('1. Raw Data'!C61))</f>
        <v>Uptown</v>
      </c>
      <c r="G61" s="25" t="str">
        <f>TRIM('1. Raw Data'!D61)</f>
        <v>Auto Loan</v>
      </c>
      <c r="H61" s="25" t="str">
        <f>TRIM('1. Raw Data'!E61)</f>
        <v>Loans</v>
      </c>
      <c r="I61" s="25" t="str">
        <f>TRIM('1. Raw Data'!F61)</f>
        <v>Sarah Chen</v>
      </c>
      <c r="J61" s="27" t="str">
        <f>PROPER(TRIM('1. Raw Data'!G61))</f>
        <v>Active</v>
      </c>
      <c r="K61" s="27" t="str">
        <f>TRIM('1. Raw Data'!H61)</f>
        <v>Low</v>
      </c>
      <c r="L61" s="29">
        <f>IFERROR(IF('1. Raw Data'!I61="",AVERAGE(IF('1. Raw Data'!I3:I402&lt;&gt;"",'1. Raw Data'!I3:I402)),VALUE('1. Raw Data'!I61)),0)</f>
        <v>21996.18</v>
      </c>
      <c r="M61" s="30">
        <f>IFERROR(IF('1. Raw Data'!J61="",AVERAGE(IF('1. Raw Data'!J3:J402&lt;&gt;"",'1. Raw Data'!J3:J402)),VALUE('1. Raw Data'!J61)),0)</f>
        <v>7.91</v>
      </c>
      <c r="N61" s="28">
        <f>'1. Raw Data'!K61</f>
        <v>36</v>
      </c>
      <c r="O61" s="29">
        <f t="shared" si="3"/>
        <v>688.36744595157359</v>
      </c>
      <c r="P61" s="28">
        <f>'1. Raw Data'!L61</f>
        <v>68</v>
      </c>
      <c r="Q61" s="27" t="str">
        <f>TRIM('1. Raw Data'!M61)</f>
        <v>Basic</v>
      </c>
    </row>
    <row r="62" spans="1:17" ht="16.5" customHeight="1" x14ac:dyDescent="0.45">
      <c r="A62" s="31" t="str">
        <f>'1. Raw Data'!A62</f>
        <v>TXN-100060</v>
      </c>
      <c r="B62" s="32">
        <f>IFERROR(DATEVALUE('1. Raw Data'!B62),"")</f>
        <v>45452</v>
      </c>
      <c r="C62" s="33" t="str">
        <f t="shared" si="0"/>
        <v>Jun</v>
      </c>
      <c r="D62" s="33" t="str">
        <f t="shared" si="1"/>
        <v>Q2</v>
      </c>
      <c r="E62" s="34">
        <f t="shared" si="2"/>
        <v>2024</v>
      </c>
      <c r="F62" s="31" t="str">
        <f>PROPER(TRIM('1. Raw Data'!C62))</f>
        <v>Northpark</v>
      </c>
      <c r="G62" s="31" t="str">
        <f>TRIM('1. Raw Data'!D62)</f>
        <v>Business Loan</v>
      </c>
      <c r="H62" s="31" t="str">
        <f>TRIM('1. Raw Data'!E62)</f>
        <v>Loans</v>
      </c>
      <c r="I62" s="31" t="str">
        <f>TRIM('1. Raw Data'!F62)</f>
        <v>Rachel Moore</v>
      </c>
      <c r="J62" s="33" t="str">
        <f>PROPER(TRIM('1. Raw Data'!G62))</f>
        <v>Pending</v>
      </c>
      <c r="K62" s="33" t="str">
        <f>TRIM('1. Raw Data'!H62)</f>
        <v>Medium</v>
      </c>
      <c r="L62" s="35">
        <f>IFERROR(IF('1. Raw Data'!I62="",AVERAGE(IF('1. Raw Data'!I3:I402&lt;&gt;"",'1. Raw Data'!I3:I402)),VALUE('1. Raw Data'!I62)),0)</f>
        <v>184311.2</v>
      </c>
      <c r="M62" s="36">
        <f>IFERROR(IF('1. Raw Data'!J62="",AVERAGE(IF('1. Raw Data'!J3:J402&lt;&gt;"",'1. Raw Data'!J3:J402)),VALUE('1. Raw Data'!J62)),0)</f>
        <v>4.4400000000000004</v>
      </c>
      <c r="N62" s="34">
        <f>'1. Raw Data'!K62</f>
        <v>24</v>
      </c>
      <c r="O62" s="35">
        <f t="shared" si="3"/>
        <v>8039.8440982590982</v>
      </c>
      <c r="P62" s="34">
        <f>'1. Raw Data'!L62</f>
        <v>52</v>
      </c>
      <c r="Q62" s="33" t="str">
        <f>TRIM('1. Raw Data'!M62)</f>
        <v>Premium</v>
      </c>
    </row>
    <row r="63" spans="1:17" ht="16.5" customHeight="1" x14ac:dyDescent="0.45">
      <c r="A63" s="25" t="str">
        <f>'1. Raw Data'!A63</f>
        <v>TXN-100061</v>
      </c>
      <c r="B63" s="26">
        <f>IFERROR(DATEVALUE('1. Raw Data'!B63),"")</f>
        <v>45524</v>
      </c>
      <c r="C63" s="27" t="str">
        <f t="shared" si="0"/>
        <v>Aug</v>
      </c>
      <c r="D63" s="27" t="str">
        <f t="shared" si="1"/>
        <v>Q3</v>
      </c>
      <c r="E63" s="28">
        <f t="shared" si="2"/>
        <v>2024</v>
      </c>
      <c r="F63" s="25" t="str">
        <f>PROPER(TRIM('1. Raw Data'!C63))</f>
        <v>Eastgate</v>
      </c>
      <c r="G63" s="25" t="str">
        <f>TRIM('1. Raw Data'!D63)</f>
        <v>Fixed Deposit</v>
      </c>
      <c r="H63" s="25" t="str">
        <f>TRIM('1. Raw Data'!E63)</f>
        <v>Deposits</v>
      </c>
      <c r="I63" s="25" t="str">
        <f>TRIM('1. Raw Data'!F63)</f>
        <v>James Patel</v>
      </c>
      <c r="J63" s="27" t="str">
        <f>PROPER(TRIM('1. Raw Data'!G63))</f>
        <v>Active</v>
      </c>
      <c r="K63" s="27" t="str">
        <f>TRIM('1. Raw Data'!H63)</f>
        <v>High</v>
      </c>
      <c r="L63" s="29">
        <f>IFERROR(IF('1. Raw Data'!I63="",AVERAGE(IF('1. Raw Data'!I3:I402&lt;&gt;"",'1. Raw Data'!I3:I402)),VALUE('1. Raw Data'!I63)),0)</f>
        <v>149148.93</v>
      </c>
      <c r="M63" s="30">
        <f>IFERROR(IF('1. Raw Data'!J63="",AVERAGE(IF('1. Raw Data'!J3:J402&lt;&gt;"",'1. Raw Data'!J3:J402)),VALUE('1. Raw Data'!J63)),0)</f>
        <v>8.66</v>
      </c>
      <c r="N63" s="28">
        <f>'1. Raw Data'!K63</f>
        <v>360</v>
      </c>
      <c r="O63" s="29">
        <f t="shared" si="3"/>
        <v>1163.7811821396663</v>
      </c>
      <c r="P63" s="28">
        <f>'1. Raw Data'!L63</f>
        <v>51</v>
      </c>
      <c r="Q63" s="27" t="str">
        <f>TRIM('1. Raw Data'!M63)</f>
        <v>Premium</v>
      </c>
    </row>
    <row r="64" spans="1:17" ht="16.5" customHeight="1" x14ac:dyDescent="0.45">
      <c r="A64" s="31" t="str">
        <f>'1. Raw Data'!A64</f>
        <v>TXN-100062</v>
      </c>
      <c r="B64" s="32">
        <f>IFERROR(DATEVALUE('1. Raw Data'!B64),"")</f>
        <v>45304</v>
      </c>
      <c r="C64" s="33" t="str">
        <f t="shared" si="0"/>
        <v>Jan</v>
      </c>
      <c r="D64" s="33" t="str">
        <f t="shared" si="1"/>
        <v>Q1</v>
      </c>
      <c r="E64" s="34">
        <f t="shared" si="2"/>
        <v>2024</v>
      </c>
      <c r="F64" s="31" t="str">
        <f>PROPER(TRIM('1. Raw Data'!C64))</f>
        <v>Eastgate</v>
      </c>
      <c r="G64" s="31" t="str">
        <f>TRIM('1. Raw Data'!D64)</f>
        <v>Mortgage</v>
      </c>
      <c r="H64" s="31" t="str">
        <f>TRIM('1. Raw Data'!E64)</f>
        <v>Loans</v>
      </c>
      <c r="I64" s="31" t="str">
        <f>TRIM('1. Raw Data'!F64)</f>
        <v>Sarah Chen</v>
      </c>
      <c r="J64" s="33" t="str">
        <f>PROPER(TRIM('1. Raw Data'!G64))</f>
        <v>Active</v>
      </c>
      <c r="K64" s="33" t="str">
        <f>TRIM('1. Raw Data'!H64)</f>
        <v>Medium</v>
      </c>
      <c r="L64" s="35">
        <f>IFERROR(IF('1. Raw Data'!I64="",AVERAGE(IF('1. Raw Data'!I3:I402&lt;&gt;"",'1. Raw Data'!I3:I402)),VALUE('1. Raw Data'!I64)),0)</f>
        <v>109274.49</v>
      </c>
      <c r="M64" s="36">
        <f>IFERROR(IF('1. Raw Data'!J64="",AVERAGE(IF('1. Raw Data'!J3:J402&lt;&gt;"",'1. Raw Data'!J3:J402)),VALUE('1. Raw Data'!J64)),0)</f>
        <v>13.39</v>
      </c>
      <c r="N64" s="34">
        <f>'1. Raw Data'!K64</f>
        <v>6</v>
      </c>
      <c r="O64" s="35">
        <f t="shared" si="3"/>
        <v>18930.26239355102</v>
      </c>
      <c r="P64" s="34">
        <f>'1. Raw Data'!L64</f>
        <v>68</v>
      </c>
      <c r="Q64" s="33" t="str">
        <f>TRIM('1. Raw Data'!M64)</f>
        <v>Premium</v>
      </c>
    </row>
    <row r="65" spans="1:17" ht="16.5" customHeight="1" x14ac:dyDescent="0.45">
      <c r="A65" s="25" t="str">
        <f>'1. Raw Data'!A65</f>
        <v>TXN-100063</v>
      </c>
      <c r="B65" s="26">
        <f>IFERROR(DATEVALUE('1. Raw Data'!B65),"")</f>
        <v>45633</v>
      </c>
      <c r="C65" s="27" t="str">
        <f t="shared" si="0"/>
        <v>Dec</v>
      </c>
      <c r="D65" s="27" t="str">
        <f t="shared" si="1"/>
        <v>Q4</v>
      </c>
      <c r="E65" s="28">
        <f t="shared" si="2"/>
        <v>2024</v>
      </c>
      <c r="F65" s="25" t="str">
        <f>PROPER(TRIM('1. Raw Data'!C65))</f>
        <v>Eastgate</v>
      </c>
      <c r="G65" s="25" t="str">
        <f>TRIM('1. Raw Data'!D65)</f>
        <v>Checking Account</v>
      </c>
      <c r="H65" s="25" t="str">
        <f>TRIM('1. Raw Data'!E65)</f>
        <v>Deposits</v>
      </c>
      <c r="I65" s="25" t="str">
        <f>TRIM('1. Raw Data'!F65)</f>
        <v>Sarah Chen</v>
      </c>
      <c r="J65" s="27" t="str">
        <f>PROPER(TRIM('1. Raw Data'!G65))</f>
        <v>Active</v>
      </c>
      <c r="K65" s="27" t="str">
        <f>TRIM('1. Raw Data'!H65)</f>
        <v>High</v>
      </c>
      <c r="L65" s="29">
        <f>IFERROR(IF('1. Raw Data'!I65="",AVERAGE(IF('1. Raw Data'!I3:I402&lt;&gt;"",'1. Raw Data'!I3:I402)),VALUE('1. Raw Data'!I65)),0)</f>
        <v>33892.5</v>
      </c>
      <c r="M65" s="30">
        <f>IFERROR(IF('1. Raw Data'!J65="",AVERAGE(IF('1. Raw Data'!J3:J402&lt;&gt;"",'1. Raw Data'!J3:J402)),VALUE('1. Raw Data'!J65)),0)</f>
        <v>5.04</v>
      </c>
      <c r="N65" s="28">
        <f>'1. Raw Data'!K65</f>
        <v>48</v>
      </c>
      <c r="O65" s="29">
        <f t="shared" si="3"/>
        <v>781.13459964488413</v>
      </c>
      <c r="P65" s="28">
        <f>'1. Raw Data'!L65</f>
        <v>23</v>
      </c>
      <c r="Q65" s="27" t="str">
        <f>TRIM('1. Raw Data'!M65)</f>
        <v>Standard</v>
      </c>
    </row>
    <row r="66" spans="1:17" ht="16.5" customHeight="1" x14ac:dyDescent="0.45">
      <c r="A66" s="31" t="str">
        <f>'1. Raw Data'!A66</f>
        <v>TXN-100064</v>
      </c>
      <c r="B66" s="32">
        <f>IFERROR(DATEVALUE('1. Raw Data'!B66),"")</f>
        <v>45399</v>
      </c>
      <c r="C66" s="33" t="str">
        <f t="shared" si="0"/>
        <v>Apr</v>
      </c>
      <c r="D66" s="33" t="str">
        <f t="shared" si="1"/>
        <v>Q2</v>
      </c>
      <c r="E66" s="34">
        <f t="shared" si="2"/>
        <v>2024</v>
      </c>
      <c r="F66" s="31" t="str">
        <f>PROPER(TRIM('1. Raw Data'!C66))</f>
        <v>Downtown</v>
      </c>
      <c r="G66" s="31" t="str">
        <f>TRIM('1. Raw Data'!D66)</f>
        <v>Mortgage</v>
      </c>
      <c r="H66" s="31" t="str">
        <f>TRIM('1. Raw Data'!E66)</f>
        <v>Loans</v>
      </c>
      <c r="I66" s="31" t="str">
        <f>TRIM('1. Raw Data'!F66)</f>
        <v>James Patel</v>
      </c>
      <c r="J66" s="33" t="str">
        <f>PROPER(TRIM('1. Raw Data'!G66))</f>
        <v>Active</v>
      </c>
      <c r="K66" s="33" t="str">
        <f>TRIM('1. Raw Data'!H66)</f>
        <v>Low</v>
      </c>
      <c r="L66" s="35">
        <f>IFERROR(IF('1. Raw Data'!I66="",AVERAGE(IF('1. Raw Data'!I3:I402&lt;&gt;"",'1. Raw Data'!I3:I402)),VALUE('1. Raw Data'!I66)),0)</f>
        <v>188461.69</v>
      </c>
      <c r="M66" s="36">
        <f>IFERROR(IF('1. Raw Data'!J66="",AVERAGE(IF('1. Raw Data'!J3:J402&lt;&gt;"",'1. Raw Data'!J3:J402)),VALUE('1. Raw Data'!J66)),0)</f>
        <v>4.6100000000000003</v>
      </c>
      <c r="N66" s="34">
        <f>'1. Raw Data'!K66</f>
        <v>48</v>
      </c>
      <c r="O66" s="35">
        <f t="shared" si="3"/>
        <v>4306.923618916042</v>
      </c>
      <c r="P66" s="34">
        <f>'1. Raw Data'!L66</f>
        <v>52</v>
      </c>
      <c r="Q66" s="33" t="str">
        <f>TRIM('1. Raw Data'!M66)</f>
        <v>Premium</v>
      </c>
    </row>
    <row r="67" spans="1:17" ht="16.5" customHeight="1" x14ac:dyDescent="0.45">
      <c r="A67" s="25" t="str">
        <f>'1. Raw Data'!A67</f>
        <v>TXN-100065</v>
      </c>
      <c r="B67" s="26">
        <f>IFERROR(DATEVALUE('1. Raw Data'!B67),"")</f>
        <v>45567</v>
      </c>
      <c r="C67" s="27" t="str">
        <f t="shared" ref="C67:C130" si="4">IFERROR(TEXT(B67,"mmm"),"")</f>
        <v>Oct</v>
      </c>
      <c r="D67" s="27" t="str">
        <f t="shared" ref="D67:D130" si="5">IFERROR("Q"&amp;INT((MONTH(B67)-1)/3+1),"")</f>
        <v>Q4</v>
      </c>
      <c r="E67" s="28">
        <f t="shared" ref="E67:E130" si="6">IFERROR(YEAR(B67),"")</f>
        <v>2024</v>
      </c>
      <c r="F67" s="25" t="str">
        <f>PROPER(TRIM('1. Raw Data'!C67))</f>
        <v>Westside</v>
      </c>
      <c r="G67" s="25" t="str">
        <f>TRIM('1. Raw Data'!D67)</f>
        <v>Checking Account</v>
      </c>
      <c r="H67" s="25" t="str">
        <f>TRIM('1. Raw Data'!E67)</f>
        <v>Deposits</v>
      </c>
      <c r="I67" s="25" t="str">
        <f>TRIM('1. Raw Data'!F67)</f>
        <v>David Kim</v>
      </c>
      <c r="J67" s="27" t="str">
        <f>PROPER(TRIM('1. Raw Data'!G67))</f>
        <v>Active</v>
      </c>
      <c r="K67" s="27" t="str">
        <f>TRIM('1. Raw Data'!H67)</f>
        <v>Low</v>
      </c>
      <c r="L67" s="29">
        <f>IFERROR(IF('1. Raw Data'!I67="",AVERAGE(IF('1. Raw Data'!I3:I402&lt;&gt;"",'1. Raw Data'!I3:I402)),VALUE('1. Raw Data'!I67)),0)</f>
        <v>205594.46</v>
      </c>
      <c r="M67" s="30">
        <f>IFERROR(IF('1. Raw Data'!J67="",AVERAGE(IF('1. Raw Data'!J3:J402&lt;&gt;"",'1. Raw Data'!J3:J402)),VALUE('1. Raw Data'!J67)),0)</f>
        <v>13.26</v>
      </c>
      <c r="N67" s="28">
        <f>'1. Raw Data'!K67</f>
        <v>36</v>
      </c>
      <c r="O67" s="29">
        <f t="shared" ref="O67:O130" si="7">IFERROR(IF(M67=0,0,(L67*(M67/100/12))/(1-(1+M67/100/12)^(-N67))),0)</f>
        <v>6953.0649513534045</v>
      </c>
      <c r="P67" s="28">
        <f>'1. Raw Data'!L67</f>
        <v>73</v>
      </c>
      <c r="Q67" s="27" t="str">
        <f>TRIM('1. Raw Data'!M67)</f>
        <v>Premium</v>
      </c>
    </row>
    <row r="68" spans="1:17" ht="16.5" customHeight="1" x14ac:dyDescent="0.45">
      <c r="A68" s="31" t="str">
        <f>'1. Raw Data'!A68</f>
        <v>TXN-100066</v>
      </c>
      <c r="B68" s="32">
        <f>IFERROR(DATEVALUE('1. Raw Data'!B68),"")</f>
        <v>45464</v>
      </c>
      <c r="C68" s="33" t="str">
        <f t="shared" si="4"/>
        <v>Jun</v>
      </c>
      <c r="D68" s="33" t="str">
        <f t="shared" si="5"/>
        <v>Q2</v>
      </c>
      <c r="E68" s="34">
        <f t="shared" si="6"/>
        <v>2024</v>
      </c>
      <c r="F68" s="31" t="str">
        <f>PROPER(TRIM('1. Raw Data'!C68))</f>
        <v>Westside</v>
      </c>
      <c r="G68" s="31" t="str">
        <f>TRIM('1. Raw Data'!D68)</f>
        <v>Auto Loan</v>
      </c>
      <c r="H68" s="31" t="str">
        <f>TRIM('1. Raw Data'!E68)</f>
        <v>Loans</v>
      </c>
      <c r="I68" s="31" t="str">
        <f>TRIM('1. Raw Data'!F68)</f>
        <v>James Patel</v>
      </c>
      <c r="J68" s="33" t="str">
        <f>PROPER(TRIM('1. Raw Data'!G68))</f>
        <v>Inactive</v>
      </c>
      <c r="K68" s="33" t="str">
        <f>TRIM('1. Raw Data'!H68)</f>
        <v>Medium</v>
      </c>
      <c r="L68" s="35">
        <f>IFERROR(IF('1. Raw Data'!I68="",AVERAGE(IF('1. Raw Data'!I3:I402&lt;&gt;"",'1. Raw Data'!I3:I402)),VALUE('1. Raw Data'!I68)),0)</f>
        <v>75749.14</v>
      </c>
      <c r="M68" s="36">
        <f>IFERROR(IF('1. Raw Data'!J68="",AVERAGE(IF('1. Raw Data'!J3:J402&lt;&gt;"",'1. Raw Data'!J3:J402)),VALUE('1. Raw Data'!J68)),0)</f>
        <v>9.91</v>
      </c>
      <c r="N68" s="34">
        <f>'1. Raw Data'!K68</f>
        <v>180</v>
      </c>
      <c r="O68" s="35">
        <f t="shared" si="7"/>
        <v>809.83850190693806</v>
      </c>
      <c r="P68" s="34">
        <f>'1. Raw Data'!L68</f>
        <v>22</v>
      </c>
      <c r="Q68" s="33" t="str">
        <f>TRIM('1. Raw Data'!M68)</f>
        <v>Standard</v>
      </c>
    </row>
    <row r="69" spans="1:17" ht="16.5" customHeight="1" x14ac:dyDescent="0.45">
      <c r="A69" s="25" t="str">
        <f>'1. Raw Data'!A69</f>
        <v>TXN-100067</v>
      </c>
      <c r="B69" s="26">
        <f>IFERROR(DATEVALUE('1. Raw Data'!B69),"")</f>
        <v>45363</v>
      </c>
      <c r="C69" s="27" t="str">
        <f t="shared" si="4"/>
        <v>Mar</v>
      </c>
      <c r="D69" s="27" t="str">
        <f t="shared" si="5"/>
        <v>Q1</v>
      </c>
      <c r="E69" s="28">
        <f t="shared" si="6"/>
        <v>2024</v>
      </c>
      <c r="F69" s="25" t="str">
        <f>PROPER(TRIM('1. Raw Data'!C69))</f>
        <v>Downtown</v>
      </c>
      <c r="G69" s="25" t="str">
        <f>TRIM('1. Raw Data'!D69)</f>
        <v>Business Loan</v>
      </c>
      <c r="H69" s="25" t="str">
        <f>TRIM('1. Raw Data'!E69)</f>
        <v>Loans</v>
      </c>
      <c r="I69" s="25" t="str">
        <f>TRIM('1. Raw Data'!F69)</f>
        <v>Maria Lopez</v>
      </c>
      <c r="J69" s="27" t="str">
        <f>PROPER(TRIM('1. Raw Data'!G69))</f>
        <v>Inactive</v>
      </c>
      <c r="K69" s="27" t="str">
        <f>TRIM('1. Raw Data'!H69)</f>
        <v>Low</v>
      </c>
      <c r="L69" s="29">
        <f>IFERROR(IF('1. Raw Data'!I69="",AVERAGE(IF('1. Raw Data'!I3:I402&lt;&gt;"",'1. Raw Data'!I3:I402)),VALUE('1. Raw Data'!I69)),0)</f>
        <v>90056.17</v>
      </c>
      <c r="M69" s="30">
        <f>IFERROR(IF('1. Raw Data'!J69="",AVERAGE(IF('1. Raw Data'!J3:J402&lt;&gt;"",'1. Raw Data'!J3:J402)),VALUE('1. Raw Data'!J69)),0)</f>
        <v>9.2799999999999994</v>
      </c>
      <c r="N69" s="28">
        <f>'1. Raw Data'!K69</f>
        <v>48</v>
      </c>
      <c r="O69" s="29">
        <f t="shared" si="7"/>
        <v>2253.0440276484219</v>
      </c>
      <c r="P69" s="28">
        <f>'1. Raw Data'!L69</f>
        <v>42</v>
      </c>
      <c r="Q69" s="27" t="str">
        <f>TRIM('1. Raw Data'!M69)</f>
        <v>Standard</v>
      </c>
    </row>
    <row r="70" spans="1:17" ht="16.5" customHeight="1" x14ac:dyDescent="0.45">
      <c r="A70" s="31" t="str">
        <f>'1. Raw Data'!A70</f>
        <v>TXN-100068</v>
      </c>
      <c r="B70" s="32">
        <f>IFERROR(DATEVALUE('1. Raw Data'!B70),"")</f>
        <v>45325</v>
      </c>
      <c r="C70" s="33" t="str">
        <f t="shared" si="4"/>
        <v>Feb</v>
      </c>
      <c r="D70" s="33" t="str">
        <f t="shared" si="5"/>
        <v>Q1</v>
      </c>
      <c r="E70" s="34">
        <f t="shared" si="6"/>
        <v>2024</v>
      </c>
      <c r="F70" s="31" t="str">
        <f>PROPER(TRIM('1. Raw Data'!C70))</f>
        <v>Uptown</v>
      </c>
      <c r="G70" s="31" t="str">
        <f>TRIM('1. Raw Data'!D70)</f>
        <v>Mortgage</v>
      </c>
      <c r="H70" s="31" t="str">
        <f>TRIM('1. Raw Data'!E70)</f>
        <v>Loans</v>
      </c>
      <c r="I70" s="31" t="str">
        <f>TRIM('1. Raw Data'!F70)</f>
        <v>Maria Lopez</v>
      </c>
      <c r="J70" s="33" t="str">
        <f>PROPER(TRIM('1. Raw Data'!G70))</f>
        <v>Pending</v>
      </c>
      <c r="K70" s="33" t="str">
        <f>TRIM('1. Raw Data'!H70)</f>
        <v>High</v>
      </c>
      <c r="L70" s="35">
        <f>IFERROR(IF('1. Raw Data'!I70="",AVERAGE(IF('1. Raw Data'!I3:I402&lt;&gt;"",'1. Raw Data'!I3:I402)),VALUE('1. Raw Data'!I70)),0)</f>
        <v>167229.07999999999</v>
      </c>
      <c r="M70" s="36">
        <f>IFERROR(IF('1. Raw Data'!J70="",AVERAGE(IF('1. Raw Data'!J3:J402&lt;&gt;"",'1. Raw Data'!J3:J402)),VALUE('1. Raw Data'!J70)),0)</f>
        <v>3.33</v>
      </c>
      <c r="N70" s="34">
        <f>'1. Raw Data'!K70</f>
        <v>12</v>
      </c>
      <c r="O70" s="35">
        <f t="shared" si="7"/>
        <v>14188.399908345136</v>
      </c>
      <c r="P70" s="34">
        <f>'1. Raw Data'!L70</f>
        <v>65</v>
      </c>
      <c r="Q70" s="33" t="str">
        <f>TRIM('1. Raw Data'!M70)</f>
        <v>Premium</v>
      </c>
    </row>
    <row r="71" spans="1:17" ht="16.5" customHeight="1" x14ac:dyDescent="0.45">
      <c r="A71" s="25" t="str">
        <f>'1. Raw Data'!A71</f>
        <v>TXN-100069</v>
      </c>
      <c r="B71" s="26">
        <f>IFERROR(DATEVALUE('1. Raw Data'!B71),"")</f>
        <v>45548</v>
      </c>
      <c r="C71" s="27" t="str">
        <f t="shared" si="4"/>
        <v>Sep</v>
      </c>
      <c r="D71" s="27" t="str">
        <f t="shared" si="5"/>
        <v>Q3</v>
      </c>
      <c r="E71" s="28">
        <f t="shared" si="6"/>
        <v>2024</v>
      </c>
      <c r="F71" s="25" t="str">
        <f>PROPER(TRIM('1. Raw Data'!C71))</f>
        <v>Uptown</v>
      </c>
      <c r="G71" s="25" t="str">
        <f>TRIM('1. Raw Data'!D71)</f>
        <v>Checking Account</v>
      </c>
      <c r="H71" s="25" t="str">
        <f>TRIM('1. Raw Data'!E71)</f>
        <v>Deposits</v>
      </c>
      <c r="I71" s="25" t="str">
        <f>TRIM('1. Raw Data'!F71)</f>
        <v>James Patel</v>
      </c>
      <c r="J71" s="27" t="str">
        <f>PROPER(TRIM('1. Raw Data'!G71))</f>
        <v>Active</v>
      </c>
      <c r="K71" s="27" t="str">
        <f>TRIM('1. Raw Data'!H71)</f>
        <v>Medium</v>
      </c>
      <c r="L71" s="29">
        <f>IFERROR(IF('1. Raw Data'!I71="",AVERAGE(IF('1. Raw Data'!I3:I402&lt;&gt;"",'1. Raw Data'!I3:I402)),VALUE('1. Raw Data'!I71)),0)</f>
        <v>42386.9</v>
      </c>
      <c r="M71" s="30">
        <f>IFERROR(IF('1. Raw Data'!J71="",AVERAGE(IF('1. Raw Data'!J3:J402&lt;&gt;"",'1. Raw Data'!J3:J402)),VALUE('1. Raw Data'!J71)),0)</f>
        <v>9.99</v>
      </c>
      <c r="N71" s="28">
        <f>'1. Raw Data'!K71</f>
        <v>60</v>
      </c>
      <c r="O71" s="29">
        <f t="shared" si="7"/>
        <v>900.38781281398735</v>
      </c>
      <c r="P71" s="28">
        <f>'1. Raw Data'!L71</f>
        <v>42</v>
      </c>
      <c r="Q71" s="27" t="str">
        <f>TRIM('1. Raw Data'!M71)</f>
        <v>Standard</v>
      </c>
    </row>
    <row r="72" spans="1:17" ht="16.5" customHeight="1" x14ac:dyDescent="0.45">
      <c r="A72" s="31" t="str">
        <f>'1. Raw Data'!A72</f>
        <v>TXN-100070</v>
      </c>
      <c r="B72" s="32">
        <f>IFERROR(DATEVALUE('1. Raw Data'!B72),"")</f>
        <v>45424</v>
      </c>
      <c r="C72" s="33" t="str">
        <f t="shared" si="4"/>
        <v>May</v>
      </c>
      <c r="D72" s="33" t="str">
        <f t="shared" si="5"/>
        <v>Q2</v>
      </c>
      <c r="E72" s="34">
        <f t="shared" si="6"/>
        <v>2024</v>
      </c>
      <c r="F72" s="31" t="str">
        <f>PROPER(TRIM('1. Raw Data'!C72))</f>
        <v>Northpark</v>
      </c>
      <c r="G72" s="31" t="str">
        <f>TRIM('1. Raw Data'!D72)</f>
        <v>Checking Account</v>
      </c>
      <c r="H72" s="31" t="str">
        <f>TRIM('1. Raw Data'!E72)</f>
        <v>Deposits</v>
      </c>
      <c r="I72" s="31" t="str">
        <f>TRIM('1. Raw Data'!F72)</f>
        <v>Sarah Chen</v>
      </c>
      <c r="J72" s="33" t="str">
        <f>PROPER(TRIM('1. Raw Data'!G72))</f>
        <v>Active</v>
      </c>
      <c r="K72" s="33" t="str">
        <f>TRIM('1. Raw Data'!H72)</f>
        <v>Low</v>
      </c>
      <c r="L72" s="35">
        <f>IFERROR(IF('1. Raw Data'!I72="",AVERAGE(IF('1. Raw Data'!I3:I402&lt;&gt;"",'1. Raw Data'!I3:I402)),VALUE('1. Raw Data'!I72)),0)</f>
        <v>117592.8</v>
      </c>
      <c r="M72" s="36">
        <f>IFERROR(IF('1. Raw Data'!J72="",AVERAGE(IF('1. Raw Data'!J3:J402&lt;&gt;"",'1. Raw Data'!J3:J402)),VALUE('1. Raw Data'!J72)),0)</f>
        <v>3.19</v>
      </c>
      <c r="N72" s="34">
        <f>'1. Raw Data'!K72</f>
        <v>48</v>
      </c>
      <c r="O72" s="35">
        <f t="shared" si="7"/>
        <v>2612.7239289186678</v>
      </c>
      <c r="P72" s="34">
        <f>'1. Raw Data'!L72</f>
        <v>63</v>
      </c>
      <c r="Q72" s="33" t="str">
        <f>TRIM('1. Raw Data'!M72)</f>
        <v>Premium</v>
      </c>
    </row>
    <row r="73" spans="1:17" ht="16.5" customHeight="1" x14ac:dyDescent="0.45">
      <c r="A73" s="25" t="str">
        <f>'1. Raw Data'!A73</f>
        <v>TXN-100071</v>
      </c>
      <c r="B73" s="26">
        <f>IFERROR(DATEVALUE('1. Raw Data'!B73),"")</f>
        <v>45348</v>
      </c>
      <c r="C73" s="27" t="str">
        <f t="shared" si="4"/>
        <v>Feb</v>
      </c>
      <c r="D73" s="27" t="str">
        <f t="shared" si="5"/>
        <v>Q1</v>
      </c>
      <c r="E73" s="28">
        <f t="shared" si="6"/>
        <v>2024</v>
      </c>
      <c r="F73" s="25" t="str">
        <f>PROPER(TRIM('1. Raw Data'!C73))</f>
        <v>Uptown</v>
      </c>
      <c r="G73" s="25" t="str">
        <f>TRIM('1. Raw Data'!D73)</f>
        <v>Credit Card</v>
      </c>
      <c r="H73" s="25" t="str">
        <f>TRIM('1. Raw Data'!E73)</f>
        <v>Cards</v>
      </c>
      <c r="I73" s="25" t="str">
        <f>TRIM('1. Raw Data'!F73)</f>
        <v>David Kim</v>
      </c>
      <c r="J73" s="27" t="str">
        <f>PROPER(TRIM('1. Raw Data'!G73))</f>
        <v>Active</v>
      </c>
      <c r="K73" s="27" t="str">
        <f>TRIM('1. Raw Data'!H73)</f>
        <v>High</v>
      </c>
      <c r="L73" s="29">
        <f>IFERROR(IF('1. Raw Data'!I73="",AVERAGE(IF('1. Raw Data'!I3:I402&lt;&gt;"",'1. Raw Data'!I3:I402)),VALUE('1. Raw Data'!I73)),0)</f>
        <v>140174.43</v>
      </c>
      <c r="M73" s="30">
        <f>IFERROR(IF('1. Raw Data'!J73="",AVERAGE(IF('1. Raw Data'!J3:J402&lt;&gt;"",'1. Raw Data'!J3:J402)),VALUE('1. Raw Data'!J73)),0)</f>
        <v>2.5099999999999998</v>
      </c>
      <c r="N73" s="28">
        <f>'1. Raw Data'!K73</f>
        <v>360</v>
      </c>
      <c r="O73" s="29">
        <f t="shared" si="7"/>
        <v>554.58753823253005</v>
      </c>
      <c r="P73" s="28">
        <f>'1. Raw Data'!L73</f>
        <v>65</v>
      </c>
      <c r="Q73" s="27" t="str">
        <f>TRIM('1. Raw Data'!M73)</f>
        <v>Premium</v>
      </c>
    </row>
    <row r="74" spans="1:17" ht="16.5" customHeight="1" x14ac:dyDescent="0.45">
      <c r="A74" s="31" t="str">
        <f>'1. Raw Data'!A74</f>
        <v>TXN-100072</v>
      </c>
      <c r="B74" s="32">
        <f>IFERROR(DATEVALUE('1. Raw Data'!B74),"")</f>
        <v>45513</v>
      </c>
      <c r="C74" s="33" t="str">
        <f t="shared" si="4"/>
        <v>Aug</v>
      </c>
      <c r="D74" s="33" t="str">
        <f t="shared" si="5"/>
        <v>Q3</v>
      </c>
      <c r="E74" s="34">
        <f t="shared" si="6"/>
        <v>2024</v>
      </c>
      <c r="F74" s="31" t="str">
        <f>PROPER(TRIM('1. Raw Data'!C74))</f>
        <v>Uptown</v>
      </c>
      <c r="G74" s="31" t="str">
        <f>TRIM('1. Raw Data'!D74)</f>
        <v>Mortgage</v>
      </c>
      <c r="H74" s="31" t="str">
        <f>TRIM('1. Raw Data'!E74)</f>
        <v>Loans</v>
      </c>
      <c r="I74" s="31" t="str">
        <f>TRIM('1. Raw Data'!F74)</f>
        <v>David Kim</v>
      </c>
      <c r="J74" s="33" t="str">
        <f>PROPER(TRIM('1. Raw Data'!G74))</f>
        <v>Pending</v>
      </c>
      <c r="K74" s="33" t="str">
        <f>TRIM('1. Raw Data'!H74)</f>
        <v>High</v>
      </c>
      <c r="L74" s="35">
        <f>IFERROR(IF('1. Raw Data'!I74="",AVERAGE(IF('1. Raw Data'!I3:I402&lt;&gt;"",'1. Raw Data'!I3:I402)),VALUE('1. Raw Data'!I74)),0)</f>
        <v>104374.7</v>
      </c>
      <c r="M74" s="36">
        <f>IFERROR(IF('1. Raw Data'!J74="",AVERAGE(IF('1. Raw Data'!J3:J402&lt;&gt;"",'1. Raw Data'!J3:J402)),VALUE('1. Raw Data'!J74)),0)</f>
        <v>12.43</v>
      </c>
      <c r="N74" s="34">
        <f>'1. Raw Data'!K74</f>
        <v>36</v>
      </c>
      <c r="O74" s="35">
        <f t="shared" si="7"/>
        <v>3488.2087874247854</v>
      </c>
      <c r="P74" s="34">
        <f>'1. Raw Data'!L74</f>
        <v>50</v>
      </c>
      <c r="Q74" s="33" t="str">
        <f>TRIM('1. Raw Data'!M74)</f>
        <v>Premium</v>
      </c>
    </row>
    <row r="75" spans="1:17" ht="16.5" customHeight="1" x14ac:dyDescent="0.45">
      <c r="A75" s="25" t="str">
        <f>'1. Raw Data'!A75</f>
        <v>TXN-100073</v>
      </c>
      <c r="B75" s="26">
        <f>IFERROR(DATEVALUE('1. Raw Data'!B75),"")</f>
        <v>45340</v>
      </c>
      <c r="C75" s="27" t="str">
        <f t="shared" si="4"/>
        <v>Feb</v>
      </c>
      <c r="D75" s="27" t="str">
        <f t="shared" si="5"/>
        <v>Q1</v>
      </c>
      <c r="E75" s="28">
        <f t="shared" si="6"/>
        <v>2024</v>
      </c>
      <c r="F75" s="25" t="str">
        <f>PROPER(TRIM('1. Raw Data'!C75))</f>
        <v>Uptown</v>
      </c>
      <c r="G75" s="25" t="str">
        <f>TRIM('1. Raw Data'!D75)</f>
        <v>Auto Loan</v>
      </c>
      <c r="H75" s="25" t="str">
        <f>TRIM('1. Raw Data'!E75)</f>
        <v>Loans</v>
      </c>
      <c r="I75" s="25" t="str">
        <f>TRIM('1. Raw Data'!F75)</f>
        <v>David Kim</v>
      </c>
      <c r="J75" s="27" t="str">
        <f>PROPER(TRIM('1. Raw Data'!G75))</f>
        <v>Pending</v>
      </c>
      <c r="K75" s="27" t="str">
        <f>TRIM('1. Raw Data'!H75)</f>
        <v>Low</v>
      </c>
      <c r="L75" s="29">
        <f>IFERROR(IF('1. Raw Data'!I75="",AVERAGE(IF('1. Raw Data'!I3:I402&lt;&gt;"",'1. Raw Data'!I3:I402)),VALUE('1. Raw Data'!I75)),0)</f>
        <v>0</v>
      </c>
      <c r="M75" s="30">
        <f>IFERROR(IF('1. Raw Data'!J75="",AVERAGE(IF('1. Raw Data'!J3:J402&lt;&gt;"",'1. Raw Data'!J3:J402)),VALUE('1. Raw Data'!J75)),0)</f>
        <v>2.94</v>
      </c>
      <c r="N75" s="28">
        <f>'1. Raw Data'!K75</f>
        <v>6</v>
      </c>
      <c r="O75" s="29">
        <f t="shared" si="7"/>
        <v>0</v>
      </c>
      <c r="P75" s="28">
        <f>'1. Raw Data'!L75</f>
        <v>34</v>
      </c>
      <c r="Q75" s="27" t="str">
        <f>TRIM('1. Raw Data'!M75)</f>
        <v>Premium</v>
      </c>
    </row>
    <row r="76" spans="1:17" ht="16.5" customHeight="1" x14ac:dyDescent="0.45">
      <c r="A76" s="31" t="str">
        <f>'1. Raw Data'!A76</f>
        <v>TXN-100074</v>
      </c>
      <c r="B76" s="32">
        <f>IFERROR(DATEVALUE('1. Raw Data'!B76),"")</f>
        <v>45325</v>
      </c>
      <c r="C76" s="33" t="str">
        <f t="shared" si="4"/>
        <v>Feb</v>
      </c>
      <c r="D76" s="33" t="str">
        <f t="shared" si="5"/>
        <v>Q1</v>
      </c>
      <c r="E76" s="34">
        <f t="shared" si="6"/>
        <v>2024</v>
      </c>
      <c r="F76" s="31" t="str">
        <f>PROPER(TRIM('1. Raw Data'!C76))</f>
        <v>Downtown</v>
      </c>
      <c r="G76" s="31" t="str">
        <f>TRIM('1. Raw Data'!D76)</f>
        <v>Mortgage</v>
      </c>
      <c r="H76" s="31" t="str">
        <f>TRIM('1. Raw Data'!E76)</f>
        <v>Loans</v>
      </c>
      <c r="I76" s="31" t="str">
        <f>TRIM('1. Raw Data'!F76)</f>
        <v>Sarah Chen</v>
      </c>
      <c r="J76" s="33" t="str">
        <f>PROPER(TRIM('1. Raw Data'!G76))</f>
        <v>Active</v>
      </c>
      <c r="K76" s="33" t="str">
        <f>TRIM('1. Raw Data'!H76)</f>
        <v>Low</v>
      </c>
      <c r="L76" s="35">
        <f>IFERROR(IF('1. Raw Data'!I76="",AVERAGE(IF('1. Raw Data'!I3:I402&lt;&gt;"",'1. Raw Data'!I3:I402)),VALUE('1. Raw Data'!I76)),0)</f>
        <v>5239.2299999999996</v>
      </c>
      <c r="M76" s="36">
        <f>IFERROR(IF('1. Raw Data'!J76="",AVERAGE(IF('1. Raw Data'!J3:J402&lt;&gt;"",'1. Raw Data'!J3:J402)),VALUE('1. Raw Data'!J76)),0)</f>
        <v>12.39</v>
      </c>
      <c r="N76" s="34">
        <f>'1. Raw Data'!K76</f>
        <v>48</v>
      </c>
      <c r="O76" s="35">
        <f t="shared" si="7"/>
        <v>138.97439196794349</v>
      </c>
      <c r="P76" s="34">
        <f>'1. Raw Data'!L76</f>
        <v>73</v>
      </c>
      <c r="Q76" s="33" t="str">
        <f>TRIM('1. Raw Data'!M76)</f>
        <v>Basic</v>
      </c>
    </row>
    <row r="77" spans="1:17" ht="16.5" customHeight="1" x14ac:dyDescent="0.45">
      <c r="A77" s="25" t="str">
        <f>'1. Raw Data'!A77</f>
        <v>TXN-100075</v>
      </c>
      <c r="B77" s="26">
        <f>IFERROR(DATEVALUE('1. Raw Data'!B77),"")</f>
        <v>45399</v>
      </c>
      <c r="C77" s="27" t="str">
        <f t="shared" si="4"/>
        <v>Apr</v>
      </c>
      <c r="D77" s="27" t="str">
        <f t="shared" si="5"/>
        <v>Q2</v>
      </c>
      <c r="E77" s="28">
        <f t="shared" si="6"/>
        <v>2024</v>
      </c>
      <c r="F77" s="25" t="str">
        <f>PROPER(TRIM('1. Raw Data'!C77))</f>
        <v>Northpark</v>
      </c>
      <c r="G77" s="25" t="str">
        <f>TRIM('1. Raw Data'!D77)</f>
        <v>Checking Account</v>
      </c>
      <c r="H77" s="25" t="str">
        <f>TRIM('1. Raw Data'!E77)</f>
        <v>Deposits</v>
      </c>
      <c r="I77" s="25" t="str">
        <f>TRIM('1. Raw Data'!F77)</f>
        <v>David Kim</v>
      </c>
      <c r="J77" s="27" t="str">
        <f>PROPER(TRIM('1. Raw Data'!G77))</f>
        <v>Active</v>
      </c>
      <c r="K77" s="27" t="str">
        <f>TRIM('1. Raw Data'!H77)</f>
        <v>Medium</v>
      </c>
      <c r="L77" s="29">
        <f>IFERROR(IF('1. Raw Data'!I77="",AVERAGE(IF('1. Raw Data'!I3:I402&lt;&gt;"",'1. Raw Data'!I3:I402)),VALUE('1. Raw Data'!I77)),0)</f>
        <v>116048.27</v>
      </c>
      <c r="M77" s="30">
        <f>IFERROR(IF('1. Raw Data'!J77="",AVERAGE(IF('1. Raw Data'!J3:J402&lt;&gt;"",'1. Raw Data'!J3:J402)),VALUE('1. Raw Data'!J77)),0)</f>
        <v>13.12</v>
      </c>
      <c r="N77" s="28">
        <f>'1. Raw Data'!K77</f>
        <v>60</v>
      </c>
      <c r="O77" s="29">
        <f t="shared" si="7"/>
        <v>2647.5889878289836</v>
      </c>
      <c r="P77" s="28">
        <f>'1. Raw Data'!L77</f>
        <v>33</v>
      </c>
      <c r="Q77" s="27" t="str">
        <f>TRIM('1. Raw Data'!M77)</f>
        <v>Premium</v>
      </c>
    </row>
    <row r="78" spans="1:17" ht="16.5" customHeight="1" x14ac:dyDescent="0.45">
      <c r="A78" s="31" t="str">
        <f>'1. Raw Data'!A78</f>
        <v>TXN-100076</v>
      </c>
      <c r="B78" s="32">
        <f>IFERROR(DATEVALUE('1. Raw Data'!B78),"")</f>
        <v>45467</v>
      </c>
      <c r="C78" s="33" t="str">
        <f t="shared" si="4"/>
        <v>Jun</v>
      </c>
      <c r="D78" s="33" t="str">
        <f t="shared" si="5"/>
        <v>Q2</v>
      </c>
      <c r="E78" s="34">
        <f t="shared" si="6"/>
        <v>2024</v>
      </c>
      <c r="F78" s="31" t="str">
        <f>PROPER(TRIM('1. Raw Data'!C78))</f>
        <v>Uptown</v>
      </c>
      <c r="G78" s="31" t="str">
        <f>TRIM('1. Raw Data'!D78)</f>
        <v>Mortgage</v>
      </c>
      <c r="H78" s="31" t="str">
        <f>TRIM('1. Raw Data'!E78)</f>
        <v>Loans</v>
      </c>
      <c r="I78" s="31" t="str">
        <f>TRIM('1. Raw Data'!F78)</f>
        <v>Sarah Chen</v>
      </c>
      <c r="J78" s="33" t="str">
        <f>PROPER(TRIM('1. Raw Data'!G78))</f>
        <v>Active</v>
      </c>
      <c r="K78" s="33" t="str">
        <f>TRIM('1. Raw Data'!H78)</f>
        <v>High</v>
      </c>
      <c r="L78" s="35">
        <f>IFERROR(IF('1. Raw Data'!I78="",AVERAGE(IF('1. Raw Data'!I3:I402&lt;&gt;"",'1. Raw Data'!I3:I402)),VALUE('1. Raw Data'!I78)),0)</f>
        <v>163134.16</v>
      </c>
      <c r="M78" s="36">
        <f>IFERROR(IF('1. Raw Data'!J78="",AVERAGE(IF('1. Raw Data'!J3:J402&lt;&gt;"",'1. Raw Data'!J3:J402)),VALUE('1. Raw Data'!J78)),0)</f>
        <v>9.5399999999999991</v>
      </c>
      <c r="N78" s="34">
        <f>'1. Raw Data'!K78</f>
        <v>12</v>
      </c>
      <c r="O78" s="35">
        <f t="shared" si="7"/>
        <v>14307.206665764577</v>
      </c>
      <c r="P78" s="34">
        <f>'1. Raw Data'!L78</f>
        <v>39</v>
      </c>
      <c r="Q78" s="33" t="str">
        <f>TRIM('1. Raw Data'!M78)</f>
        <v>Premium</v>
      </c>
    </row>
    <row r="79" spans="1:17" ht="16.5" customHeight="1" x14ac:dyDescent="0.45">
      <c r="A79" s="25" t="str">
        <f>'1. Raw Data'!A79</f>
        <v>TXN-100077</v>
      </c>
      <c r="B79" s="26">
        <f>IFERROR(DATEVALUE('1. Raw Data'!B79),"")</f>
        <v>45372</v>
      </c>
      <c r="C79" s="27" t="str">
        <f t="shared" si="4"/>
        <v>Mar</v>
      </c>
      <c r="D79" s="27" t="str">
        <f t="shared" si="5"/>
        <v>Q1</v>
      </c>
      <c r="E79" s="28">
        <f t="shared" si="6"/>
        <v>2024</v>
      </c>
      <c r="F79" s="25" t="str">
        <f>PROPER(TRIM('1. Raw Data'!C79))</f>
        <v>Eastgate</v>
      </c>
      <c r="G79" s="25" t="str">
        <f>TRIM('1. Raw Data'!D79)</f>
        <v>Savings Account</v>
      </c>
      <c r="H79" s="25" t="str">
        <f>TRIM('1. Raw Data'!E79)</f>
        <v>Deposits</v>
      </c>
      <c r="I79" s="25" t="str">
        <f>TRIM('1. Raw Data'!F79)</f>
        <v>James Patel</v>
      </c>
      <c r="J79" s="27" t="str">
        <f>PROPER(TRIM('1. Raw Data'!G79))</f>
        <v>Active</v>
      </c>
      <c r="K79" s="27" t="str">
        <f>TRIM('1. Raw Data'!H79)</f>
        <v>Low</v>
      </c>
      <c r="L79" s="29">
        <f>IFERROR(IF('1. Raw Data'!I79="",AVERAGE(IF('1. Raw Data'!I3:I402&lt;&gt;"",'1. Raw Data'!I3:I402)),VALUE('1. Raw Data'!I79)),0)</f>
        <v>106818.83</v>
      </c>
      <c r="M79" s="30">
        <f>IFERROR(IF('1. Raw Data'!J79="",AVERAGE(IF('1. Raw Data'!J3:J402&lt;&gt;"",'1. Raw Data'!J3:J402)),VALUE('1. Raw Data'!J79)),0)</f>
        <v>3.39</v>
      </c>
      <c r="N79" s="28">
        <f>'1. Raw Data'!K79</f>
        <v>48</v>
      </c>
      <c r="O79" s="29">
        <f t="shared" si="7"/>
        <v>2382.8198542493819</v>
      </c>
      <c r="P79" s="28">
        <f>'1. Raw Data'!L79</f>
        <v>27</v>
      </c>
      <c r="Q79" s="27" t="str">
        <f>TRIM('1. Raw Data'!M79)</f>
        <v>Premium</v>
      </c>
    </row>
    <row r="80" spans="1:17" ht="16.5" customHeight="1" x14ac:dyDescent="0.45">
      <c r="A80" s="31" t="str">
        <f>'1. Raw Data'!A80</f>
        <v>TXN-100078</v>
      </c>
      <c r="B80" s="32">
        <f>IFERROR(DATEVALUE('1. Raw Data'!B80),"")</f>
        <v>45436</v>
      </c>
      <c r="C80" s="33" t="str">
        <f t="shared" si="4"/>
        <v>May</v>
      </c>
      <c r="D80" s="33" t="str">
        <f t="shared" si="5"/>
        <v>Q2</v>
      </c>
      <c r="E80" s="34">
        <f t="shared" si="6"/>
        <v>2024</v>
      </c>
      <c r="F80" s="31" t="str">
        <f>PROPER(TRIM('1. Raw Data'!C80))</f>
        <v>Downtown</v>
      </c>
      <c r="G80" s="31" t="str">
        <f>TRIM('1. Raw Data'!D80)</f>
        <v>Fixed Deposit</v>
      </c>
      <c r="H80" s="31" t="str">
        <f>TRIM('1. Raw Data'!E80)</f>
        <v>Deposits</v>
      </c>
      <c r="I80" s="31" t="str">
        <f>TRIM('1. Raw Data'!F80)</f>
        <v>Rachel Moore</v>
      </c>
      <c r="J80" s="33" t="str">
        <f>PROPER(TRIM('1. Raw Data'!G80))</f>
        <v>Active</v>
      </c>
      <c r="K80" s="33" t="str">
        <f>TRIM('1. Raw Data'!H80)</f>
        <v>High</v>
      </c>
      <c r="L80" s="35">
        <f>IFERROR(IF('1. Raw Data'!I80="",AVERAGE(IF('1. Raw Data'!I3:I402&lt;&gt;"",'1. Raw Data'!I3:I402)),VALUE('1. Raw Data'!I80)),0)</f>
        <v>144551.81</v>
      </c>
      <c r="M80" s="36">
        <f>IFERROR(IF('1. Raw Data'!J80="",AVERAGE(IF('1. Raw Data'!J3:J402&lt;&gt;"",'1. Raw Data'!J3:J402)),VALUE('1. Raw Data'!J80)),0)</f>
        <v>5.42</v>
      </c>
      <c r="N80" s="34">
        <f>'1. Raw Data'!K80</f>
        <v>180</v>
      </c>
      <c r="O80" s="35">
        <f t="shared" si="7"/>
        <v>1174.9813332950214</v>
      </c>
      <c r="P80" s="34">
        <f>'1. Raw Data'!L80</f>
        <v>30</v>
      </c>
      <c r="Q80" s="33" t="str">
        <f>TRIM('1. Raw Data'!M80)</f>
        <v>Premium</v>
      </c>
    </row>
    <row r="81" spans="1:17" ht="16.5" customHeight="1" x14ac:dyDescent="0.45">
      <c r="A81" s="25" t="str">
        <f>'1. Raw Data'!A81</f>
        <v>TXN-100079</v>
      </c>
      <c r="B81" s="26">
        <f>IFERROR(DATEVALUE('1. Raw Data'!B81),"")</f>
        <v>45354</v>
      </c>
      <c r="C81" s="27" t="str">
        <f t="shared" si="4"/>
        <v>Mar</v>
      </c>
      <c r="D81" s="27" t="str">
        <f t="shared" si="5"/>
        <v>Q1</v>
      </c>
      <c r="E81" s="28">
        <f t="shared" si="6"/>
        <v>2024</v>
      </c>
      <c r="F81" s="25" t="str">
        <f>PROPER(TRIM('1. Raw Data'!C81))</f>
        <v>Eastgate</v>
      </c>
      <c r="G81" s="25" t="str">
        <f>TRIM('1. Raw Data'!D81)</f>
        <v>Mortgage</v>
      </c>
      <c r="H81" s="25" t="str">
        <f>TRIM('1. Raw Data'!E81)</f>
        <v>Loans</v>
      </c>
      <c r="I81" s="25" t="str">
        <f>TRIM('1. Raw Data'!F81)</f>
        <v>Rachel Moore</v>
      </c>
      <c r="J81" s="27" t="str">
        <f>PROPER(TRIM('1. Raw Data'!G81))</f>
        <v>Active</v>
      </c>
      <c r="K81" s="27" t="str">
        <f>TRIM('1. Raw Data'!H81)</f>
        <v>Low</v>
      </c>
      <c r="L81" s="29">
        <f>IFERROR(IF('1. Raw Data'!I81="",AVERAGE(IF('1. Raw Data'!I3:I402&lt;&gt;"",'1. Raw Data'!I3:I402)),VALUE('1. Raw Data'!I81)),0)</f>
        <v>217149.14</v>
      </c>
      <c r="M81" s="30">
        <f>IFERROR(IF('1. Raw Data'!J81="",AVERAGE(IF('1. Raw Data'!J3:J402&lt;&gt;"",'1. Raw Data'!J3:J402)),VALUE('1. Raw Data'!J81)),0)</f>
        <v>9.89</v>
      </c>
      <c r="N81" s="28">
        <f>'1. Raw Data'!K81</f>
        <v>24</v>
      </c>
      <c r="O81" s="29">
        <f t="shared" si="7"/>
        <v>10009.309909813021</v>
      </c>
      <c r="P81" s="28">
        <f>'1. Raw Data'!L81</f>
        <v>60</v>
      </c>
      <c r="Q81" s="27" t="str">
        <f>TRIM('1. Raw Data'!M81)</f>
        <v>Premium</v>
      </c>
    </row>
    <row r="82" spans="1:17" ht="16.5" customHeight="1" x14ac:dyDescent="0.45">
      <c r="A82" s="31" t="str">
        <f>'1. Raw Data'!A82</f>
        <v>TXN-100080</v>
      </c>
      <c r="B82" s="32">
        <f>IFERROR(DATEVALUE('1. Raw Data'!B82),"")</f>
        <v>45608</v>
      </c>
      <c r="C82" s="33" t="str">
        <f t="shared" si="4"/>
        <v>Nov</v>
      </c>
      <c r="D82" s="33" t="str">
        <f t="shared" si="5"/>
        <v>Q4</v>
      </c>
      <c r="E82" s="34">
        <f t="shared" si="6"/>
        <v>2024</v>
      </c>
      <c r="F82" s="31" t="str">
        <f>PROPER(TRIM('1. Raw Data'!C82))</f>
        <v>Westside</v>
      </c>
      <c r="G82" s="31" t="str">
        <f>TRIM('1. Raw Data'!D82)</f>
        <v>Checking Account</v>
      </c>
      <c r="H82" s="31" t="str">
        <f>TRIM('1. Raw Data'!E82)</f>
        <v>Deposits</v>
      </c>
      <c r="I82" s="31" t="str">
        <f>TRIM('1. Raw Data'!F82)</f>
        <v>Maria Lopez</v>
      </c>
      <c r="J82" s="33" t="str">
        <f>PROPER(TRIM('1. Raw Data'!G82))</f>
        <v>Active</v>
      </c>
      <c r="K82" s="33" t="str">
        <f>TRIM('1. Raw Data'!H82)</f>
        <v>Low</v>
      </c>
      <c r="L82" s="35">
        <f>IFERROR(IF('1. Raw Data'!I82="",AVERAGE(IF('1. Raw Data'!I3:I402&lt;&gt;"",'1. Raw Data'!I3:I402)),VALUE('1. Raw Data'!I82)),0)</f>
        <v>219618.41</v>
      </c>
      <c r="M82" s="36">
        <f>IFERROR(IF('1. Raw Data'!J82="",AVERAGE(IF('1. Raw Data'!J3:J402&lt;&gt;"",'1. Raw Data'!J3:J402)),VALUE('1. Raw Data'!J82)),0)</f>
        <v>9.3800000000000008</v>
      </c>
      <c r="N82" s="34">
        <f>'1. Raw Data'!K82</f>
        <v>12</v>
      </c>
      <c r="O82" s="35">
        <f t="shared" si="7"/>
        <v>19244.676419952921</v>
      </c>
      <c r="P82" s="34">
        <f>'1. Raw Data'!L82</f>
        <v>60</v>
      </c>
      <c r="Q82" s="33" t="str">
        <f>TRIM('1. Raw Data'!M82)</f>
        <v>Premium</v>
      </c>
    </row>
    <row r="83" spans="1:17" ht="16.5" customHeight="1" x14ac:dyDescent="0.45">
      <c r="A83" s="25" t="str">
        <f>'1. Raw Data'!A83</f>
        <v>TXN-100081</v>
      </c>
      <c r="B83" s="26">
        <f>IFERROR(DATEVALUE('1. Raw Data'!B83),"")</f>
        <v>45362</v>
      </c>
      <c r="C83" s="27" t="str">
        <f t="shared" si="4"/>
        <v>Mar</v>
      </c>
      <c r="D83" s="27" t="str">
        <f t="shared" si="5"/>
        <v>Q1</v>
      </c>
      <c r="E83" s="28">
        <f t="shared" si="6"/>
        <v>2024</v>
      </c>
      <c r="F83" s="25" t="str">
        <f>PROPER(TRIM('1. Raw Data'!C83))</f>
        <v>Uptown</v>
      </c>
      <c r="G83" s="25" t="str">
        <f>TRIM('1. Raw Data'!D83)</f>
        <v>Fixed Deposit</v>
      </c>
      <c r="H83" s="25" t="str">
        <f>TRIM('1. Raw Data'!E83)</f>
        <v>Deposits</v>
      </c>
      <c r="I83" s="25" t="str">
        <f>TRIM('1. Raw Data'!F83)</f>
        <v>Maria Lopez</v>
      </c>
      <c r="J83" s="27" t="str">
        <f>PROPER(TRIM('1. Raw Data'!G83))</f>
        <v>Active</v>
      </c>
      <c r="K83" s="27" t="str">
        <f>TRIM('1. Raw Data'!H83)</f>
        <v>Medium</v>
      </c>
      <c r="L83" s="29">
        <f>IFERROR(IF('1. Raw Data'!I83="",AVERAGE(IF('1. Raw Data'!I3:I402&lt;&gt;"",'1. Raw Data'!I3:I402)),VALUE('1. Raw Data'!I83)),0)</f>
        <v>93455.9</v>
      </c>
      <c r="M83" s="30">
        <f>IFERROR(IF('1. Raw Data'!J83="",AVERAGE(IF('1. Raw Data'!J3:J402&lt;&gt;"",'1. Raw Data'!J3:J402)),VALUE('1. Raw Data'!J83)),0)</f>
        <v>5.29</v>
      </c>
      <c r="N83" s="28">
        <f>'1. Raw Data'!K83</f>
        <v>48</v>
      </c>
      <c r="O83" s="29">
        <f t="shared" si="7"/>
        <v>2164.5219771526572</v>
      </c>
      <c r="P83" s="28">
        <f>'1. Raw Data'!L83</f>
        <v>39</v>
      </c>
      <c r="Q83" s="27" t="str">
        <f>TRIM('1. Raw Data'!M83)</f>
        <v>Standard</v>
      </c>
    </row>
    <row r="84" spans="1:17" ht="16.5" customHeight="1" x14ac:dyDescent="0.45">
      <c r="A84" s="31" t="str">
        <f>'1. Raw Data'!A84</f>
        <v>TXN-100082</v>
      </c>
      <c r="B84" s="32">
        <f>IFERROR(DATEVALUE('1. Raw Data'!B84),"")</f>
        <v>45532</v>
      </c>
      <c r="C84" s="33" t="str">
        <f t="shared" si="4"/>
        <v>Aug</v>
      </c>
      <c r="D84" s="33" t="str">
        <f t="shared" si="5"/>
        <v>Q3</v>
      </c>
      <c r="E84" s="34">
        <f t="shared" si="6"/>
        <v>2024</v>
      </c>
      <c r="F84" s="31" t="str">
        <f>PROPER(TRIM('1. Raw Data'!C84))</f>
        <v>Northpark</v>
      </c>
      <c r="G84" s="31" t="str">
        <f>TRIM('1. Raw Data'!D84)</f>
        <v>Personal Loan</v>
      </c>
      <c r="H84" s="31" t="str">
        <f>TRIM('1. Raw Data'!E84)</f>
        <v>Loans</v>
      </c>
      <c r="I84" s="31" t="str">
        <f>TRIM('1. Raw Data'!F84)</f>
        <v>David Kim</v>
      </c>
      <c r="J84" s="33" t="str">
        <f>PROPER(TRIM('1. Raw Data'!G84))</f>
        <v>Active</v>
      </c>
      <c r="K84" s="33" t="str">
        <f>TRIM('1. Raw Data'!H84)</f>
        <v>Medium</v>
      </c>
      <c r="L84" s="35">
        <f>IFERROR(IF('1. Raw Data'!I84="",AVERAGE(IF('1. Raw Data'!I3:I402&lt;&gt;"",'1. Raw Data'!I3:I402)),VALUE('1. Raw Data'!I84)),0)</f>
        <v>224998.07</v>
      </c>
      <c r="M84" s="36">
        <f>IFERROR(IF('1. Raw Data'!J84="",AVERAGE(IF('1. Raw Data'!J3:J402&lt;&gt;"",'1. Raw Data'!J3:J402)),VALUE('1. Raw Data'!J84)),0)</f>
        <v>4.97</v>
      </c>
      <c r="N84" s="34">
        <f>'1. Raw Data'!K84</f>
        <v>360</v>
      </c>
      <c r="O84" s="35">
        <f t="shared" si="7"/>
        <v>1203.7163829092731</v>
      </c>
      <c r="P84" s="34">
        <f>'1. Raw Data'!L84</f>
        <v>41</v>
      </c>
      <c r="Q84" s="33" t="str">
        <f>TRIM('1. Raw Data'!M84)</f>
        <v>Premium</v>
      </c>
    </row>
    <row r="85" spans="1:17" ht="16.5" customHeight="1" x14ac:dyDescent="0.45">
      <c r="A85" s="25" t="str">
        <f>'1. Raw Data'!A85</f>
        <v>TXN-100083</v>
      </c>
      <c r="B85" s="26">
        <f>IFERROR(DATEVALUE('1. Raw Data'!B85),"")</f>
        <v>45430</v>
      </c>
      <c r="C85" s="27" t="str">
        <f t="shared" si="4"/>
        <v>May</v>
      </c>
      <c r="D85" s="27" t="str">
        <f t="shared" si="5"/>
        <v>Q2</v>
      </c>
      <c r="E85" s="28">
        <f t="shared" si="6"/>
        <v>2024</v>
      </c>
      <c r="F85" s="25" t="str">
        <f>PROPER(TRIM('1. Raw Data'!C85))</f>
        <v>Downtown</v>
      </c>
      <c r="G85" s="25" t="str">
        <f>TRIM('1. Raw Data'!D85)</f>
        <v>Business Loan</v>
      </c>
      <c r="H85" s="25" t="str">
        <f>TRIM('1. Raw Data'!E85)</f>
        <v>Loans</v>
      </c>
      <c r="I85" s="25" t="str">
        <f>TRIM('1. Raw Data'!F85)</f>
        <v>James Patel</v>
      </c>
      <c r="J85" s="27" t="str">
        <f>PROPER(TRIM('1. Raw Data'!G85))</f>
        <v>Active</v>
      </c>
      <c r="K85" s="27" t="str">
        <f>TRIM('1. Raw Data'!H85)</f>
        <v>High</v>
      </c>
      <c r="L85" s="29">
        <f>IFERROR(IF('1. Raw Data'!I85="",AVERAGE(IF('1. Raw Data'!I3:I402&lt;&gt;"",'1. Raw Data'!I3:I402)),VALUE('1. Raw Data'!I85)),0)</f>
        <v>22988.44</v>
      </c>
      <c r="M85" s="30">
        <f>IFERROR(IF('1. Raw Data'!J85="",AVERAGE(IF('1. Raw Data'!J3:J402&lt;&gt;"",'1. Raw Data'!J3:J402)),VALUE('1. Raw Data'!J85)),0)</f>
        <v>6.97</v>
      </c>
      <c r="N85" s="28">
        <f>'1. Raw Data'!K85</f>
        <v>240</v>
      </c>
      <c r="O85" s="29">
        <f t="shared" si="7"/>
        <v>177.81539996298591</v>
      </c>
      <c r="P85" s="28">
        <f>'1. Raw Data'!L85</f>
        <v>58</v>
      </c>
      <c r="Q85" s="27" t="str">
        <f>TRIM('1. Raw Data'!M85)</f>
        <v>Basic</v>
      </c>
    </row>
    <row r="86" spans="1:17" ht="16.5" customHeight="1" x14ac:dyDescent="0.45">
      <c r="A86" s="31" t="str">
        <f>'1. Raw Data'!A86</f>
        <v>TXN-100084</v>
      </c>
      <c r="B86" s="32">
        <f>IFERROR(DATEVALUE('1. Raw Data'!B86),"")</f>
        <v>45483</v>
      </c>
      <c r="C86" s="33" t="str">
        <f t="shared" si="4"/>
        <v>Jul</v>
      </c>
      <c r="D86" s="33" t="str">
        <f t="shared" si="5"/>
        <v>Q3</v>
      </c>
      <c r="E86" s="34">
        <f t="shared" si="6"/>
        <v>2024</v>
      </c>
      <c r="F86" s="31" t="str">
        <f>PROPER(TRIM('1. Raw Data'!C86))</f>
        <v>Northpark</v>
      </c>
      <c r="G86" s="31" t="str">
        <f>TRIM('1. Raw Data'!D86)</f>
        <v>Savings Account</v>
      </c>
      <c r="H86" s="31" t="str">
        <f>TRIM('1. Raw Data'!E86)</f>
        <v>Deposits</v>
      </c>
      <c r="I86" s="31" t="str">
        <f>TRIM('1. Raw Data'!F86)</f>
        <v>David Kim</v>
      </c>
      <c r="J86" s="33" t="str">
        <f>PROPER(TRIM('1. Raw Data'!G86))</f>
        <v>Active</v>
      </c>
      <c r="K86" s="33" t="str">
        <f>TRIM('1. Raw Data'!H86)</f>
        <v>High</v>
      </c>
      <c r="L86" s="35">
        <f>IFERROR(IF('1. Raw Data'!I86="",AVERAGE(IF('1. Raw Data'!I3:I402&lt;&gt;"",'1. Raw Data'!I3:I402)),VALUE('1. Raw Data'!I86)),0)</f>
        <v>166395.66</v>
      </c>
      <c r="M86" s="36">
        <f>IFERROR(IF('1. Raw Data'!J86="",AVERAGE(IF('1. Raw Data'!J3:J402&lt;&gt;"",'1. Raw Data'!J3:J402)),VALUE('1. Raw Data'!J86)),0)</f>
        <v>0</v>
      </c>
      <c r="N86" s="34">
        <f>'1. Raw Data'!K86</f>
        <v>120</v>
      </c>
      <c r="O86" s="35">
        <f t="shared" si="7"/>
        <v>0</v>
      </c>
      <c r="P86" s="34">
        <f>'1. Raw Data'!L86</f>
        <v>71</v>
      </c>
      <c r="Q86" s="33" t="str">
        <f>TRIM('1. Raw Data'!M86)</f>
        <v>Premium</v>
      </c>
    </row>
    <row r="87" spans="1:17" ht="16.5" customHeight="1" x14ac:dyDescent="0.45">
      <c r="A87" s="25" t="str">
        <f>'1. Raw Data'!A87</f>
        <v>TXN-100085</v>
      </c>
      <c r="B87" s="26">
        <f>IFERROR(DATEVALUE('1. Raw Data'!B87),"")</f>
        <v>45577</v>
      </c>
      <c r="C87" s="27" t="str">
        <f t="shared" si="4"/>
        <v>Oct</v>
      </c>
      <c r="D87" s="27" t="str">
        <f t="shared" si="5"/>
        <v>Q4</v>
      </c>
      <c r="E87" s="28">
        <f t="shared" si="6"/>
        <v>2024</v>
      </c>
      <c r="F87" s="25" t="str">
        <f>PROPER(TRIM('1. Raw Data'!C87))</f>
        <v>Downtown</v>
      </c>
      <c r="G87" s="25" t="str">
        <f>TRIM('1. Raw Data'!D87)</f>
        <v>Fixed Deposit</v>
      </c>
      <c r="H87" s="25" t="str">
        <f>TRIM('1. Raw Data'!E87)</f>
        <v>Deposits</v>
      </c>
      <c r="I87" s="25" t="str">
        <f>TRIM('1. Raw Data'!F87)</f>
        <v>Rachel Moore</v>
      </c>
      <c r="J87" s="27" t="str">
        <f>PROPER(TRIM('1. Raw Data'!G87))</f>
        <v>Pending</v>
      </c>
      <c r="K87" s="27" t="str">
        <f>TRIM('1. Raw Data'!H87)</f>
        <v>High</v>
      </c>
      <c r="L87" s="29">
        <f>IFERROR(IF('1. Raw Data'!I87="",AVERAGE(IF('1. Raw Data'!I3:I402&lt;&gt;"",'1. Raw Data'!I3:I402)),VALUE('1. Raw Data'!I87)),0)</f>
        <v>61441.4</v>
      </c>
      <c r="M87" s="30">
        <f>IFERROR(IF('1. Raw Data'!J87="",AVERAGE(IF('1. Raw Data'!J3:J402&lt;&gt;"",'1. Raw Data'!J3:J402)),VALUE('1. Raw Data'!J87)),0)</f>
        <v>6.22</v>
      </c>
      <c r="N87" s="28">
        <f>'1. Raw Data'!K87</f>
        <v>6</v>
      </c>
      <c r="O87" s="29">
        <f t="shared" si="7"/>
        <v>10426.80859171245</v>
      </c>
      <c r="P87" s="28">
        <f>'1. Raw Data'!L87</f>
        <v>63</v>
      </c>
      <c r="Q87" s="27" t="str">
        <f>TRIM('1. Raw Data'!M87)</f>
        <v>Standard</v>
      </c>
    </row>
    <row r="88" spans="1:17" ht="16.5" customHeight="1" x14ac:dyDescent="0.45">
      <c r="A88" s="31" t="str">
        <f>'1. Raw Data'!A88</f>
        <v>TXN-100086</v>
      </c>
      <c r="B88" s="32">
        <f>IFERROR(DATEVALUE('1. Raw Data'!B88),"")</f>
        <v>45301</v>
      </c>
      <c r="C88" s="33" t="str">
        <f t="shared" si="4"/>
        <v>Jan</v>
      </c>
      <c r="D88" s="33" t="str">
        <f t="shared" si="5"/>
        <v>Q1</v>
      </c>
      <c r="E88" s="34">
        <f t="shared" si="6"/>
        <v>2024</v>
      </c>
      <c r="F88" s="31" t="str">
        <f>PROPER(TRIM('1. Raw Data'!C88))</f>
        <v>Northpark</v>
      </c>
      <c r="G88" s="31" t="str">
        <f>TRIM('1. Raw Data'!D88)</f>
        <v>Mortgage</v>
      </c>
      <c r="H88" s="31" t="str">
        <f>TRIM('1. Raw Data'!E88)</f>
        <v>Loans</v>
      </c>
      <c r="I88" s="31" t="str">
        <f>TRIM('1. Raw Data'!F88)</f>
        <v>James Patel</v>
      </c>
      <c r="J88" s="33" t="str">
        <f>PROPER(TRIM('1. Raw Data'!G88))</f>
        <v>Active</v>
      </c>
      <c r="K88" s="33" t="str">
        <f>TRIM('1. Raw Data'!H88)</f>
        <v>Medium</v>
      </c>
      <c r="L88" s="35">
        <f>IFERROR(IF('1. Raw Data'!I88="",AVERAGE(IF('1. Raw Data'!I3:I402&lt;&gt;"",'1. Raw Data'!I3:I402)),VALUE('1. Raw Data'!I88)),0)</f>
        <v>55000.03</v>
      </c>
      <c r="M88" s="36">
        <f>IFERROR(IF('1. Raw Data'!J88="",AVERAGE(IF('1. Raw Data'!J3:J402&lt;&gt;"",'1. Raw Data'!J3:J402)),VALUE('1. Raw Data'!J88)),0)</f>
        <v>11.92</v>
      </c>
      <c r="N88" s="34">
        <f>'1. Raw Data'!K88</f>
        <v>180</v>
      </c>
      <c r="O88" s="35">
        <f t="shared" si="7"/>
        <v>657.26468005586833</v>
      </c>
      <c r="P88" s="34">
        <f>'1. Raw Data'!L88</f>
        <v>75</v>
      </c>
      <c r="Q88" s="33" t="str">
        <f>TRIM('1. Raw Data'!M88)</f>
        <v>Standard</v>
      </c>
    </row>
    <row r="89" spans="1:17" ht="16.5" customHeight="1" x14ac:dyDescent="0.45">
      <c r="A89" s="25" t="str">
        <f>'1. Raw Data'!A89</f>
        <v>TXN-100087</v>
      </c>
      <c r="B89" s="26">
        <f>IFERROR(DATEVALUE('1. Raw Data'!B89),"")</f>
        <v>45496</v>
      </c>
      <c r="C89" s="27" t="str">
        <f t="shared" si="4"/>
        <v>Jul</v>
      </c>
      <c r="D89" s="27" t="str">
        <f t="shared" si="5"/>
        <v>Q3</v>
      </c>
      <c r="E89" s="28">
        <f t="shared" si="6"/>
        <v>2024</v>
      </c>
      <c r="F89" s="25" t="str">
        <f>PROPER(TRIM('1. Raw Data'!C89))</f>
        <v>Downtown</v>
      </c>
      <c r="G89" s="25" t="str">
        <f>TRIM('1. Raw Data'!D89)</f>
        <v>Savings Account</v>
      </c>
      <c r="H89" s="25" t="str">
        <f>TRIM('1. Raw Data'!E89)</f>
        <v>Deposits</v>
      </c>
      <c r="I89" s="25" t="str">
        <f>TRIM('1. Raw Data'!F89)</f>
        <v>David Kim</v>
      </c>
      <c r="J89" s="27" t="str">
        <f>PROPER(TRIM('1. Raw Data'!G89))</f>
        <v>Active</v>
      </c>
      <c r="K89" s="27" t="str">
        <f>TRIM('1. Raw Data'!H89)</f>
        <v>High</v>
      </c>
      <c r="L89" s="29">
        <f>IFERROR(IF('1. Raw Data'!I89="",AVERAGE(IF('1. Raw Data'!I3:I402&lt;&gt;"",'1. Raw Data'!I3:I402)),VALUE('1. Raw Data'!I89)),0)</f>
        <v>156075.28</v>
      </c>
      <c r="M89" s="30">
        <f>IFERROR(IF('1. Raw Data'!J89="",AVERAGE(IF('1. Raw Data'!J3:J402&lt;&gt;"",'1. Raw Data'!J3:J402)),VALUE('1. Raw Data'!J89)),0)</f>
        <v>4.91</v>
      </c>
      <c r="N89" s="28">
        <f>'1. Raw Data'!K89</f>
        <v>120</v>
      </c>
      <c r="O89" s="29">
        <f t="shared" si="7"/>
        <v>1648.5630440652346</v>
      </c>
      <c r="P89" s="28">
        <f>'1. Raw Data'!L89</f>
        <v>41</v>
      </c>
      <c r="Q89" s="27" t="str">
        <f>TRIM('1. Raw Data'!M89)</f>
        <v>Premium</v>
      </c>
    </row>
    <row r="90" spans="1:17" ht="16.5" customHeight="1" x14ac:dyDescent="0.45">
      <c r="A90" s="31" t="str">
        <f>'1. Raw Data'!A90</f>
        <v>TXN-100088</v>
      </c>
      <c r="B90" s="32">
        <f>IFERROR(DATEVALUE('1. Raw Data'!B90),"")</f>
        <v>45325</v>
      </c>
      <c r="C90" s="33" t="str">
        <f t="shared" si="4"/>
        <v>Feb</v>
      </c>
      <c r="D90" s="33" t="str">
        <f t="shared" si="5"/>
        <v>Q1</v>
      </c>
      <c r="E90" s="34">
        <f t="shared" si="6"/>
        <v>2024</v>
      </c>
      <c r="F90" s="31" t="str">
        <f>PROPER(TRIM('1. Raw Data'!C90))</f>
        <v>Eastgate</v>
      </c>
      <c r="G90" s="31" t="str">
        <f>TRIM('1. Raw Data'!D90)</f>
        <v>Personal Loan</v>
      </c>
      <c r="H90" s="31" t="str">
        <f>TRIM('1. Raw Data'!E90)</f>
        <v>Loans</v>
      </c>
      <c r="I90" s="31" t="str">
        <f>TRIM('1. Raw Data'!F90)</f>
        <v>James Patel</v>
      </c>
      <c r="J90" s="33" t="str">
        <f>PROPER(TRIM('1. Raw Data'!G90))</f>
        <v>Pending</v>
      </c>
      <c r="K90" s="33" t="str">
        <f>TRIM('1. Raw Data'!H90)</f>
        <v>High</v>
      </c>
      <c r="L90" s="35">
        <f>IFERROR(IF('1. Raw Data'!I90="",AVERAGE(IF('1. Raw Data'!I3:I402&lt;&gt;"",'1. Raw Data'!I3:I402)),VALUE('1. Raw Data'!I90)),0)</f>
        <v>100150.09</v>
      </c>
      <c r="M90" s="36">
        <f>IFERROR(IF('1. Raw Data'!J90="",AVERAGE(IF('1. Raw Data'!J3:J402&lt;&gt;"",'1. Raw Data'!J3:J402)),VALUE('1. Raw Data'!J90)),0)</f>
        <v>8.39</v>
      </c>
      <c r="N90" s="34">
        <f>'1. Raw Data'!K90</f>
        <v>180</v>
      </c>
      <c r="O90" s="35">
        <f t="shared" si="7"/>
        <v>979.77064346680208</v>
      </c>
      <c r="P90" s="34">
        <f>'1. Raw Data'!L90</f>
        <v>34</v>
      </c>
      <c r="Q90" s="33" t="str">
        <f>TRIM('1. Raw Data'!M90)</f>
        <v>Premium</v>
      </c>
    </row>
    <row r="91" spans="1:17" ht="16.5" customHeight="1" x14ac:dyDescent="0.45">
      <c r="A91" s="25" t="str">
        <f>'1. Raw Data'!A91</f>
        <v>TXN-100089</v>
      </c>
      <c r="B91" s="26">
        <f>IFERROR(DATEVALUE('1. Raw Data'!B91),"")</f>
        <v>45634</v>
      </c>
      <c r="C91" s="27" t="str">
        <f t="shared" si="4"/>
        <v>Dec</v>
      </c>
      <c r="D91" s="27" t="str">
        <f t="shared" si="5"/>
        <v>Q4</v>
      </c>
      <c r="E91" s="28">
        <f t="shared" si="6"/>
        <v>2024</v>
      </c>
      <c r="F91" s="25" t="str">
        <f>PROPER(TRIM('1. Raw Data'!C91))</f>
        <v>Northpark</v>
      </c>
      <c r="G91" s="25" t="str">
        <f>TRIM('1. Raw Data'!D91)</f>
        <v>Auto Loan</v>
      </c>
      <c r="H91" s="25" t="str">
        <f>TRIM('1. Raw Data'!E91)</f>
        <v>Loans</v>
      </c>
      <c r="I91" s="25" t="str">
        <f>TRIM('1. Raw Data'!F91)</f>
        <v>James Patel</v>
      </c>
      <c r="J91" s="27" t="str">
        <f>PROPER(TRIM('1. Raw Data'!G91))</f>
        <v>Active</v>
      </c>
      <c r="K91" s="27" t="str">
        <f>TRIM('1. Raw Data'!H91)</f>
        <v>Low</v>
      </c>
      <c r="L91" s="29">
        <f>IFERROR(IF('1. Raw Data'!I91="",AVERAGE(IF('1. Raw Data'!I3:I402&lt;&gt;"",'1. Raw Data'!I3:I402)),VALUE('1. Raw Data'!I91)),0)</f>
        <v>35864.82</v>
      </c>
      <c r="M91" s="30">
        <f>IFERROR(IF('1. Raw Data'!J91="",AVERAGE(IF('1. Raw Data'!J3:J402&lt;&gt;"",'1. Raw Data'!J3:J402)),VALUE('1. Raw Data'!J91)),0)</f>
        <v>7.84</v>
      </c>
      <c r="N91" s="28">
        <f>'1. Raw Data'!K91</f>
        <v>48</v>
      </c>
      <c r="O91" s="29">
        <f t="shared" si="7"/>
        <v>872.87395993075006</v>
      </c>
      <c r="P91" s="28">
        <f>'1. Raw Data'!L91</f>
        <v>45</v>
      </c>
      <c r="Q91" s="27" t="str">
        <f>TRIM('1. Raw Data'!M91)</f>
        <v>Standard</v>
      </c>
    </row>
    <row r="92" spans="1:17" ht="16.5" customHeight="1" x14ac:dyDescent="0.45">
      <c r="A92" s="31" t="str">
        <f>'1. Raw Data'!A92</f>
        <v>TXN-100090</v>
      </c>
      <c r="B92" s="32">
        <f>IFERROR(DATEVALUE('1. Raw Data'!B92),"")</f>
        <v>45537</v>
      </c>
      <c r="C92" s="33" t="str">
        <f t="shared" si="4"/>
        <v>Sep</v>
      </c>
      <c r="D92" s="33" t="str">
        <f t="shared" si="5"/>
        <v>Q3</v>
      </c>
      <c r="E92" s="34">
        <f t="shared" si="6"/>
        <v>2024</v>
      </c>
      <c r="F92" s="31" t="str">
        <f>PROPER(TRIM('1. Raw Data'!C92))</f>
        <v>Eastgate</v>
      </c>
      <c r="G92" s="31" t="str">
        <f>TRIM('1. Raw Data'!D92)</f>
        <v>Checking Account</v>
      </c>
      <c r="H92" s="31" t="str">
        <f>TRIM('1. Raw Data'!E92)</f>
        <v>Deposits</v>
      </c>
      <c r="I92" s="31" t="str">
        <f>TRIM('1. Raw Data'!F92)</f>
        <v>David Kim</v>
      </c>
      <c r="J92" s="33" t="str">
        <f>PROPER(TRIM('1. Raw Data'!G92))</f>
        <v>Inactive</v>
      </c>
      <c r="K92" s="33" t="str">
        <f>TRIM('1. Raw Data'!H92)</f>
        <v>Medium</v>
      </c>
      <c r="L92" s="35">
        <f>IFERROR(IF('1. Raw Data'!I92="",AVERAGE(IF('1. Raw Data'!I3:I402&lt;&gt;"",'1. Raw Data'!I3:I402)),VALUE('1. Raw Data'!I92)),0)</f>
        <v>0</v>
      </c>
      <c r="M92" s="36">
        <f>IFERROR(IF('1. Raw Data'!J92="",AVERAGE(IF('1. Raw Data'!J3:J402&lt;&gt;"",'1. Raw Data'!J3:J402)),VALUE('1. Raw Data'!J92)),0)</f>
        <v>13.26</v>
      </c>
      <c r="N92" s="34">
        <f>'1. Raw Data'!K92</f>
        <v>180</v>
      </c>
      <c r="O92" s="35">
        <f t="shared" si="7"/>
        <v>0</v>
      </c>
      <c r="P92" s="34">
        <f>'1. Raw Data'!L92</f>
        <v>59</v>
      </c>
      <c r="Q92" s="33" t="str">
        <f>TRIM('1. Raw Data'!M92)</f>
        <v>Premium</v>
      </c>
    </row>
    <row r="93" spans="1:17" ht="16.5" customHeight="1" x14ac:dyDescent="0.45">
      <c r="A93" s="25" t="str">
        <f>'1. Raw Data'!A93</f>
        <v>TXN-100091</v>
      </c>
      <c r="B93" s="26">
        <f>IFERROR(DATEVALUE('1. Raw Data'!B93),"")</f>
        <v>45456</v>
      </c>
      <c r="C93" s="27" t="str">
        <f t="shared" si="4"/>
        <v>Jun</v>
      </c>
      <c r="D93" s="27" t="str">
        <f t="shared" si="5"/>
        <v>Q2</v>
      </c>
      <c r="E93" s="28">
        <f t="shared" si="6"/>
        <v>2024</v>
      </c>
      <c r="F93" s="25" t="str">
        <f>PROPER(TRIM('1. Raw Data'!C93))</f>
        <v>Uptown</v>
      </c>
      <c r="G93" s="25" t="str">
        <f>TRIM('1. Raw Data'!D93)</f>
        <v>Business Loan</v>
      </c>
      <c r="H93" s="25" t="str">
        <f>TRIM('1. Raw Data'!E93)</f>
        <v>Loans</v>
      </c>
      <c r="I93" s="25" t="str">
        <f>TRIM('1. Raw Data'!F93)</f>
        <v>James Patel</v>
      </c>
      <c r="J93" s="27" t="str">
        <f>PROPER(TRIM('1. Raw Data'!G93))</f>
        <v>Active</v>
      </c>
      <c r="K93" s="27" t="str">
        <f>TRIM('1. Raw Data'!H93)</f>
        <v>Low</v>
      </c>
      <c r="L93" s="29">
        <f>IFERROR(IF('1. Raw Data'!I93="",AVERAGE(IF('1. Raw Data'!I3:I402&lt;&gt;"",'1. Raw Data'!I3:I402)),VALUE('1. Raw Data'!I93)),0)</f>
        <v>162722.74</v>
      </c>
      <c r="M93" s="30">
        <f>IFERROR(IF('1. Raw Data'!J93="",AVERAGE(IF('1. Raw Data'!J3:J402&lt;&gt;"",'1. Raw Data'!J3:J402)),VALUE('1. Raw Data'!J93)),0)</f>
        <v>12.93</v>
      </c>
      <c r="N93" s="28">
        <f>'1. Raw Data'!K93</f>
        <v>60</v>
      </c>
      <c r="O93" s="29">
        <f t="shared" si="7"/>
        <v>3696.6140457268443</v>
      </c>
      <c r="P93" s="28">
        <f>'1. Raw Data'!L93</f>
        <v>66</v>
      </c>
      <c r="Q93" s="27" t="str">
        <f>TRIM('1. Raw Data'!M93)</f>
        <v>Premium</v>
      </c>
    </row>
    <row r="94" spans="1:17" ht="16.5" customHeight="1" x14ac:dyDescent="0.45">
      <c r="A94" s="31" t="str">
        <f>'1. Raw Data'!A94</f>
        <v>TXN-100092</v>
      </c>
      <c r="B94" s="32">
        <f>IFERROR(DATEVALUE('1. Raw Data'!B94),"")</f>
        <v>45302</v>
      </c>
      <c r="C94" s="33" t="str">
        <f t="shared" si="4"/>
        <v>Jan</v>
      </c>
      <c r="D94" s="33" t="str">
        <f t="shared" si="5"/>
        <v>Q1</v>
      </c>
      <c r="E94" s="34">
        <f t="shared" si="6"/>
        <v>2024</v>
      </c>
      <c r="F94" s="31" t="str">
        <f>PROPER(TRIM('1. Raw Data'!C94))</f>
        <v>Uptown</v>
      </c>
      <c r="G94" s="31" t="str">
        <f>TRIM('1. Raw Data'!D94)</f>
        <v>Business Loan</v>
      </c>
      <c r="H94" s="31" t="str">
        <f>TRIM('1. Raw Data'!E94)</f>
        <v>Loans</v>
      </c>
      <c r="I94" s="31" t="str">
        <f>TRIM('1. Raw Data'!F94)</f>
        <v>Rachel Moore</v>
      </c>
      <c r="J94" s="33" t="str">
        <f>PROPER(TRIM('1. Raw Data'!G94))</f>
        <v>Active</v>
      </c>
      <c r="K94" s="33" t="str">
        <f>TRIM('1. Raw Data'!H94)</f>
        <v>Low</v>
      </c>
      <c r="L94" s="35">
        <f>IFERROR(IF('1. Raw Data'!I94="",AVERAGE(IF('1. Raw Data'!I3:I402&lt;&gt;"",'1. Raw Data'!I3:I402)),VALUE('1. Raw Data'!I94)),0)</f>
        <v>134405.32999999999</v>
      </c>
      <c r="M94" s="36">
        <f>IFERROR(IF('1. Raw Data'!J94="",AVERAGE(IF('1. Raw Data'!J3:J402&lt;&gt;"",'1. Raw Data'!J3:J402)),VALUE('1. Raw Data'!J94)),0)</f>
        <v>4.74</v>
      </c>
      <c r="N94" s="34">
        <f>'1. Raw Data'!K94</f>
        <v>60</v>
      </c>
      <c r="O94" s="35">
        <f t="shared" si="7"/>
        <v>2520.4155254661127</v>
      </c>
      <c r="P94" s="34">
        <f>'1. Raw Data'!L94</f>
        <v>29</v>
      </c>
      <c r="Q94" s="33" t="str">
        <f>TRIM('1. Raw Data'!M94)</f>
        <v>Premium</v>
      </c>
    </row>
    <row r="95" spans="1:17" ht="16.5" customHeight="1" x14ac:dyDescent="0.45">
      <c r="A95" s="25" t="str">
        <f>'1. Raw Data'!A95</f>
        <v>TXN-100093</v>
      </c>
      <c r="B95" s="26">
        <f>IFERROR(DATEVALUE('1. Raw Data'!B95),"")</f>
        <v>45537</v>
      </c>
      <c r="C95" s="27" t="str">
        <f t="shared" si="4"/>
        <v>Sep</v>
      </c>
      <c r="D95" s="27" t="str">
        <f t="shared" si="5"/>
        <v>Q3</v>
      </c>
      <c r="E95" s="28">
        <f t="shared" si="6"/>
        <v>2024</v>
      </c>
      <c r="F95" s="25" t="str">
        <f>PROPER(TRIM('1. Raw Data'!C95))</f>
        <v>Uptown</v>
      </c>
      <c r="G95" s="25" t="str">
        <f>TRIM('1. Raw Data'!D95)</f>
        <v>Checking Account</v>
      </c>
      <c r="H95" s="25" t="str">
        <f>TRIM('1. Raw Data'!E95)</f>
        <v>Deposits</v>
      </c>
      <c r="I95" s="25" t="str">
        <f>TRIM('1. Raw Data'!F95)</f>
        <v>Sarah Chen</v>
      </c>
      <c r="J95" s="27" t="str">
        <f>PROPER(TRIM('1. Raw Data'!G95))</f>
        <v>Pending</v>
      </c>
      <c r="K95" s="27" t="str">
        <f>TRIM('1. Raw Data'!H95)</f>
        <v>High</v>
      </c>
      <c r="L95" s="29">
        <f>IFERROR(IF('1. Raw Data'!I95="",AVERAGE(IF('1. Raw Data'!I3:I402&lt;&gt;"",'1. Raw Data'!I3:I402)),VALUE('1. Raw Data'!I95)),0)</f>
        <v>130973.62</v>
      </c>
      <c r="M95" s="30">
        <f>IFERROR(IF('1. Raw Data'!J95="",AVERAGE(IF('1. Raw Data'!J3:J402&lt;&gt;"",'1. Raw Data'!J3:J402)),VALUE('1. Raw Data'!J95)),0)</f>
        <v>12.93</v>
      </c>
      <c r="N95" s="28">
        <f>'1. Raw Data'!K95</f>
        <v>60</v>
      </c>
      <c r="O95" s="29">
        <f t="shared" si="7"/>
        <v>2975.3611776183857</v>
      </c>
      <c r="P95" s="28">
        <f>'1. Raw Data'!L95</f>
        <v>54</v>
      </c>
      <c r="Q95" s="27" t="str">
        <f>TRIM('1. Raw Data'!M95)</f>
        <v>Premium</v>
      </c>
    </row>
    <row r="96" spans="1:17" ht="16.5" customHeight="1" x14ac:dyDescent="0.45">
      <c r="A96" s="31" t="str">
        <f>'1. Raw Data'!A96</f>
        <v>TXN-100094</v>
      </c>
      <c r="B96" s="32">
        <f>IFERROR(DATEVALUE('1. Raw Data'!B96),"")</f>
        <v>45609</v>
      </c>
      <c r="C96" s="33" t="str">
        <f t="shared" si="4"/>
        <v>Nov</v>
      </c>
      <c r="D96" s="33" t="str">
        <f t="shared" si="5"/>
        <v>Q4</v>
      </c>
      <c r="E96" s="34">
        <f t="shared" si="6"/>
        <v>2024</v>
      </c>
      <c r="F96" s="31" t="str">
        <f>PROPER(TRIM('1. Raw Data'!C96))</f>
        <v>Eastgate</v>
      </c>
      <c r="G96" s="31" t="str">
        <f>TRIM('1. Raw Data'!D96)</f>
        <v>Personal Loan</v>
      </c>
      <c r="H96" s="31" t="str">
        <f>TRIM('1. Raw Data'!E96)</f>
        <v>Loans</v>
      </c>
      <c r="I96" s="31" t="str">
        <f>TRIM('1. Raw Data'!F96)</f>
        <v>James Patel</v>
      </c>
      <c r="J96" s="33" t="str">
        <f>PROPER(TRIM('1. Raw Data'!G96))</f>
        <v>Pending</v>
      </c>
      <c r="K96" s="33" t="str">
        <f>TRIM('1. Raw Data'!H96)</f>
        <v>Medium</v>
      </c>
      <c r="L96" s="35">
        <f>IFERROR(IF('1. Raw Data'!I96="",AVERAGE(IF('1. Raw Data'!I3:I402&lt;&gt;"",'1. Raw Data'!I3:I402)),VALUE('1. Raw Data'!I96)),0)</f>
        <v>82473.69</v>
      </c>
      <c r="M96" s="36">
        <f>IFERROR(IF('1. Raw Data'!J96="",AVERAGE(IF('1. Raw Data'!J3:J402&lt;&gt;"",'1. Raw Data'!J3:J402)),VALUE('1. Raw Data'!J96)),0)</f>
        <v>4.72</v>
      </c>
      <c r="N96" s="34">
        <f>'1. Raw Data'!K96</f>
        <v>48</v>
      </c>
      <c r="O96" s="35">
        <f t="shared" si="7"/>
        <v>1888.8678668844993</v>
      </c>
      <c r="P96" s="34">
        <f>'1. Raw Data'!L96</f>
        <v>58</v>
      </c>
      <c r="Q96" s="33" t="str">
        <f>TRIM('1. Raw Data'!M96)</f>
        <v>Standard</v>
      </c>
    </row>
    <row r="97" spans="1:17" ht="16.5" customHeight="1" x14ac:dyDescent="0.45">
      <c r="A97" s="25" t="str">
        <f>'1. Raw Data'!A97</f>
        <v>TXN-100095</v>
      </c>
      <c r="B97" s="26">
        <f>IFERROR(DATEVALUE('1. Raw Data'!B97),"")</f>
        <v>45388</v>
      </c>
      <c r="C97" s="27" t="str">
        <f t="shared" si="4"/>
        <v>Apr</v>
      </c>
      <c r="D97" s="27" t="str">
        <f t="shared" si="5"/>
        <v>Q2</v>
      </c>
      <c r="E97" s="28">
        <f t="shared" si="6"/>
        <v>2024</v>
      </c>
      <c r="F97" s="25" t="str">
        <f>PROPER(TRIM('1. Raw Data'!C97))</f>
        <v>Northpark</v>
      </c>
      <c r="G97" s="25" t="str">
        <f>TRIM('1. Raw Data'!D97)</f>
        <v>Savings Account</v>
      </c>
      <c r="H97" s="25" t="str">
        <f>TRIM('1. Raw Data'!E97)</f>
        <v>Deposits</v>
      </c>
      <c r="I97" s="25" t="str">
        <f>TRIM('1. Raw Data'!F97)</f>
        <v>David Kim</v>
      </c>
      <c r="J97" s="27" t="str">
        <f>PROPER(TRIM('1. Raw Data'!G97))</f>
        <v>Active</v>
      </c>
      <c r="K97" s="27" t="str">
        <f>TRIM('1. Raw Data'!H97)</f>
        <v>Low</v>
      </c>
      <c r="L97" s="29">
        <f>IFERROR(IF('1. Raw Data'!I97="",AVERAGE(IF('1. Raw Data'!I3:I402&lt;&gt;"",'1. Raw Data'!I3:I402)),VALUE('1. Raw Data'!I97)),0)</f>
        <v>179034.87</v>
      </c>
      <c r="M97" s="30">
        <f>IFERROR(IF('1. Raw Data'!J97="",AVERAGE(IF('1. Raw Data'!J3:J402&lt;&gt;"",'1. Raw Data'!J3:J402)),VALUE('1. Raw Data'!J97)),0)</f>
        <v>7.96</v>
      </c>
      <c r="N97" s="28">
        <f>'1. Raw Data'!K97</f>
        <v>12</v>
      </c>
      <c r="O97" s="29">
        <f t="shared" si="7"/>
        <v>15570.651105287017</v>
      </c>
      <c r="P97" s="28">
        <f>'1. Raw Data'!L97</f>
        <v>52</v>
      </c>
      <c r="Q97" s="27" t="str">
        <f>TRIM('1. Raw Data'!M97)</f>
        <v>Premium</v>
      </c>
    </row>
    <row r="98" spans="1:17" ht="16.5" customHeight="1" x14ac:dyDescent="0.45">
      <c r="A98" s="31" t="str">
        <f>'1. Raw Data'!A98</f>
        <v>TXN-100096</v>
      </c>
      <c r="B98" s="32">
        <f>IFERROR(DATEVALUE('1. Raw Data'!B98),"")</f>
        <v>45364</v>
      </c>
      <c r="C98" s="33" t="str">
        <f t="shared" si="4"/>
        <v>Mar</v>
      </c>
      <c r="D98" s="33" t="str">
        <f t="shared" si="5"/>
        <v>Q1</v>
      </c>
      <c r="E98" s="34">
        <f t="shared" si="6"/>
        <v>2024</v>
      </c>
      <c r="F98" s="31" t="str">
        <f>PROPER(TRIM('1. Raw Data'!C98))</f>
        <v>Northpark</v>
      </c>
      <c r="G98" s="31" t="str">
        <f>TRIM('1. Raw Data'!D98)</f>
        <v>Personal Loan</v>
      </c>
      <c r="H98" s="31" t="str">
        <f>TRIM('1. Raw Data'!E98)</f>
        <v>Loans</v>
      </c>
      <c r="I98" s="31" t="str">
        <f>TRIM('1. Raw Data'!F98)</f>
        <v>Sarah Chen</v>
      </c>
      <c r="J98" s="33" t="str">
        <f>PROPER(TRIM('1. Raw Data'!G98))</f>
        <v>Pending</v>
      </c>
      <c r="K98" s="33" t="str">
        <f>TRIM('1. Raw Data'!H98)</f>
        <v>High</v>
      </c>
      <c r="L98" s="35">
        <f>IFERROR(IF('1. Raw Data'!I98="",AVERAGE(IF('1. Raw Data'!I3:I402&lt;&gt;"",'1. Raw Data'!I3:I402)),VALUE('1. Raw Data'!I98)),0)</f>
        <v>57669.37</v>
      </c>
      <c r="M98" s="36">
        <f>IFERROR(IF('1. Raw Data'!J98="",AVERAGE(IF('1. Raw Data'!J3:J402&lt;&gt;"",'1. Raw Data'!J3:J402)),VALUE('1. Raw Data'!J98)),0)</f>
        <v>5.0999999999999996</v>
      </c>
      <c r="N98" s="34">
        <f>'1. Raw Data'!K98</f>
        <v>24</v>
      </c>
      <c r="O98" s="35">
        <f t="shared" si="7"/>
        <v>2532.6188934708025</v>
      </c>
      <c r="P98" s="34">
        <f>'1. Raw Data'!L98</f>
        <v>62</v>
      </c>
      <c r="Q98" s="33" t="str">
        <f>TRIM('1. Raw Data'!M98)</f>
        <v>Standard</v>
      </c>
    </row>
    <row r="99" spans="1:17" ht="16.5" customHeight="1" x14ac:dyDescent="0.45">
      <c r="A99" s="25" t="str">
        <f>'1. Raw Data'!A99</f>
        <v>TXN-100097</v>
      </c>
      <c r="B99" s="26">
        <f>IFERROR(DATEVALUE('1. Raw Data'!B99),"")</f>
        <v>45339</v>
      </c>
      <c r="C99" s="27" t="str">
        <f t="shared" si="4"/>
        <v>Feb</v>
      </c>
      <c r="D99" s="27" t="str">
        <f t="shared" si="5"/>
        <v>Q1</v>
      </c>
      <c r="E99" s="28">
        <f t="shared" si="6"/>
        <v>2024</v>
      </c>
      <c r="F99" s="25" t="str">
        <f>PROPER(TRIM('1. Raw Data'!C99))</f>
        <v>Eastgate</v>
      </c>
      <c r="G99" s="25" t="str">
        <f>TRIM('1. Raw Data'!D99)</f>
        <v>Fixed Deposit</v>
      </c>
      <c r="H99" s="25" t="str">
        <f>TRIM('1. Raw Data'!E99)</f>
        <v>Deposits</v>
      </c>
      <c r="I99" s="25" t="str">
        <f>TRIM('1. Raw Data'!F99)</f>
        <v>Rachel Moore</v>
      </c>
      <c r="J99" s="27" t="str">
        <f>PROPER(TRIM('1. Raw Data'!G99))</f>
        <v>Pending</v>
      </c>
      <c r="K99" s="27" t="str">
        <f>TRIM('1. Raw Data'!H99)</f>
        <v>Medium</v>
      </c>
      <c r="L99" s="29">
        <f>IFERROR(IF('1. Raw Data'!I99="",AVERAGE(IF('1. Raw Data'!I3:I402&lt;&gt;"",'1. Raw Data'!I3:I402)),VALUE('1. Raw Data'!I99)),0)</f>
        <v>125159.63</v>
      </c>
      <c r="M99" s="30">
        <f>IFERROR(IF('1. Raw Data'!J99="",AVERAGE(IF('1. Raw Data'!J3:J402&lt;&gt;"",'1. Raw Data'!J3:J402)),VALUE('1. Raw Data'!J99)),0)</f>
        <v>0</v>
      </c>
      <c r="N99" s="28">
        <f>'1. Raw Data'!K99</f>
        <v>6</v>
      </c>
      <c r="O99" s="29">
        <f t="shared" si="7"/>
        <v>0</v>
      </c>
      <c r="P99" s="28">
        <f>'1. Raw Data'!L99</f>
        <v>65</v>
      </c>
      <c r="Q99" s="27" t="str">
        <f>TRIM('1. Raw Data'!M99)</f>
        <v>Premium</v>
      </c>
    </row>
    <row r="100" spans="1:17" ht="16.5" customHeight="1" x14ac:dyDescent="0.45">
      <c r="A100" s="31" t="str">
        <f>'1. Raw Data'!A100</f>
        <v>TXN-100098</v>
      </c>
      <c r="B100" s="32">
        <f>IFERROR(DATEVALUE('1. Raw Data'!B100),"")</f>
        <v>45549</v>
      </c>
      <c r="C100" s="33" t="str">
        <f t="shared" si="4"/>
        <v>Sep</v>
      </c>
      <c r="D100" s="33" t="str">
        <f t="shared" si="5"/>
        <v>Q3</v>
      </c>
      <c r="E100" s="34">
        <f t="shared" si="6"/>
        <v>2024</v>
      </c>
      <c r="F100" s="31" t="str">
        <f>PROPER(TRIM('1. Raw Data'!C100))</f>
        <v>Uptown</v>
      </c>
      <c r="G100" s="31" t="str">
        <f>TRIM('1. Raw Data'!D100)</f>
        <v>Business Loan</v>
      </c>
      <c r="H100" s="31" t="str">
        <f>TRIM('1. Raw Data'!E100)</f>
        <v>Loans</v>
      </c>
      <c r="I100" s="31" t="str">
        <f>TRIM('1. Raw Data'!F100)</f>
        <v>Rachel Moore</v>
      </c>
      <c r="J100" s="33" t="str">
        <f>PROPER(TRIM('1. Raw Data'!G100))</f>
        <v>Active</v>
      </c>
      <c r="K100" s="33" t="str">
        <f>TRIM('1. Raw Data'!H100)</f>
        <v>Medium</v>
      </c>
      <c r="L100" s="35">
        <f>IFERROR(IF('1. Raw Data'!I100="",AVERAGE(IF('1. Raw Data'!I3:I402&lt;&gt;"",'1. Raw Data'!I3:I402)),VALUE('1. Raw Data'!I100)),0)</f>
        <v>195749.99</v>
      </c>
      <c r="M100" s="36">
        <f>IFERROR(IF('1. Raw Data'!J100="",AVERAGE(IF('1. Raw Data'!J3:J402&lt;&gt;"",'1. Raw Data'!J3:J402)),VALUE('1. Raw Data'!J100)),0)</f>
        <v>12.76</v>
      </c>
      <c r="N100" s="34">
        <f>'1. Raw Data'!K100</f>
        <v>120</v>
      </c>
      <c r="O100" s="35">
        <f t="shared" si="7"/>
        <v>2895.113109997219</v>
      </c>
      <c r="P100" s="34">
        <f>'1. Raw Data'!L100</f>
        <v>68</v>
      </c>
      <c r="Q100" s="33" t="str">
        <f>TRIM('1. Raw Data'!M100)</f>
        <v>Premium</v>
      </c>
    </row>
    <row r="101" spans="1:17" ht="16.5" customHeight="1" x14ac:dyDescent="0.45">
      <c r="A101" s="25" t="str">
        <f>'1. Raw Data'!A101</f>
        <v>TXN-100099</v>
      </c>
      <c r="B101" s="26">
        <f>IFERROR(DATEVALUE('1. Raw Data'!B101),"")</f>
        <v>45309</v>
      </c>
      <c r="C101" s="27" t="str">
        <f t="shared" si="4"/>
        <v>Jan</v>
      </c>
      <c r="D101" s="27" t="str">
        <f t="shared" si="5"/>
        <v>Q1</v>
      </c>
      <c r="E101" s="28">
        <f t="shared" si="6"/>
        <v>2024</v>
      </c>
      <c r="F101" s="25" t="str">
        <f>PROPER(TRIM('1. Raw Data'!C101))</f>
        <v>Westside</v>
      </c>
      <c r="G101" s="25" t="str">
        <f>TRIM('1. Raw Data'!D101)</f>
        <v>Personal Loan</v>
      </c>
      <c r="H101" s="25" t="str">
        <f>TRIM('1. Raw Data'!E101)</f>
        <v>Loans</v>
      </c>
      <c r="I101" s="25" t="str">
        <f>TRIM('1. Raw Data'!F101)</f>
        <v>Rachel Moore</v>
      </c>
      <c r="J101" s="27" t="str">
        <f>PROPER(TRIM('1. Raw Data'!G101))</f>
        <v>Active</v>
      </c>
      <c r="K101" s="27" t="str">
        <f>TRIM('1. Raw Data'!H101)</f>
        <v>Low</v>
      </c>
      <c r="L101" s="29">
        <f>IFERROR(IF('1. Raw Data'!I101="",AVERAGE(IF('1. Raw Data'!I3:I402&lt;&gt;"",'1. Raw Data'!I3:I402)),VALUE('1. Raw Data'!I101)),0)</f>
        <v>88365.2</v>
      </c>
      <c r="M101" s="30">
        <f>IFERROR(IF('1. Raw Data'!J101="",AVERAGE(IF('1. Raw Data'!J3:J402&lt;&gt;"",'1. Raw Data'!J3:J402)),VALUE('1. Raw Data'!J101)),0)</f>
        <v>2.92</v>
      </c>
      <c r="N101" s="28">
        <f>'1. Raw Data'!K101</f>
        <v>48</v>
      </c>
      <c r="O101" s="29">
        <f t="shared" si="7"/>
        <v>1952.7814295773803</v>
      </c>
      <c r="P101" s="28">
        <f>'1. Raw Data'!L101</f>
        <v>38</v>
      </c>
      <c r="Q101" s="27" t="str">
        <f>TRIM('1. Raw Data'!M101)</f>
        <v>Standard</v>
      </c>
    </row>
    <row r="102" spans="1:17" ht="16.5" customHeight="1" x14ac:dyDescent="0.45">
      <c r="A102" s="31" t="str">
        <f>'1. Raw Data'!A102</f>
        <v>TXN-100100</v>
      </c>
      <c r="B102" s="32">
        <f>IFERROR(DATEVALUE('1. Raw Data'!B102),"")</f>
        <v>45539</v>
      </c>
      <c r="C102" s="33" t="str">
        <f t="shared" si="4"/>
        <v>Sep</v>
      </c>
      <c r="D102" s="33" t="str">
        <f t="shared" si="5"/>
        <v>Q3</v>
      </c>
      <c r="E102" s="34">
        <f t="shared" si="6"/>
        <v>2024</v>
      </c>
      <c r="F102" s="31" t="str">
        <f>PROPER(TRIM('1. Raw Data'!C102))</f>
        <v>Northpark</v>
      </c>
      <c r="G102" s="31" t="str">
        <f>TRIM('1. Raw Data'!D102)</f>
        <v>Savings Account</v>
      </c>
      <c r="H102" s="31" t="str">
        <f>TRIM('1. Raw Data'!E102)</f>
        <v>Deposits</v>
      </c>
      <c r="I102" s="31" t="str">
        <f>TRIM('1. Raw Data'!F102)</f>
        <v>Rachel Moore</v>
      </c>
      <c r="J102" s="33" t="str">
        <f>PROPER(TRIM('1. Raw Data'!G102))</f>
        <v>Pending</v>
      </c>
      <c r="K102" s="33" t="str">
        <f>TRIM('1. Raw Data'!H102)</f>
        <v>Medium</v>
      </c>
      <c r="L102" s="35">
        <f>IFERROR(IF('1. Raw Data'!I102="",AVERAGE(IF('1. Raw Data'!I3:I402&lt;&gt;"",'1. Raw Data'!I3:I402)),VALUE('1. Raw Data'!I102)),0)</f>
        <v>75654.53</v>
      </c>
      <c r="M102" s="36">
        <f>IFERROR(IF('1. Raw Data'!J102="",AVERAGE(IF('1. Raw Data'!J3:J402&lt;&gt;"",'1. Raw Data'!J3:J402)),VALUE('1. Raw Data'!J102)),0)</f>
        <v>3.63</v>
      </c>
      <c r="N102" s="34">
        <f>'1. Raw Data'!K102</f>
        <v>180</v>
      </c>
      <c r="O102" s="35">
        <f t="shared" si="7"/>
        <v>545.68370468177307</v>
      </c>
      <c r="P102" s="34">
        <f>'1. Raw Data'!L102</f>
        <v>36</v>
      </c>
      <c r="Q102" s="33" t="str">
        <f>TRIM('1. Raw Data'!M102)</f>
        <v>Standard</v>
      </c>
    </row>
    <row r="103" spans="1:17" ht="16.5" customHeight="1" x14ac:dyDescent="0.45">
      <c r="A103" s="25" t="str">
        <f>'1. Raw Data'!A103</f>
        <v>TXN-100101</v>
      </c>
      <c r="B103" s="26">
        <f>IFERROR(DATEVALUE('1. Raw Data'!B103),"")</f>
        <v>45590</v>
      </c>
      <c r="C103" s="27" t="str">
        <f t="shared" si="4"/>
        <v>Oct</v>
      </c>
      <c r="D103" s="27" t="str">
        <f t="shared" si="5"/>
        <v>Q4</v>
      </c>
      <c r="E103" s="28">
        <f t="shared" si="6"/>
        <v>2024</v>
      </c>
      <c r="F103" s="25" t="str">
        <f>PROPER(TRIM('1. Raw Data'!C103))</f>
        <v>Westside</v>
      </c>
      <c r="G103" s="25" t="str">
        <f>TRIM('1. Raw Data'!D103)</f>
        <v>Credit Card</v>
      </c>
      <c r="H103" s="25" t="str">
        <f>TRIM('1. Raw Data'!E103)</f>
        <v>Cards</v>
      </c>
      <c r="I103" s="25" t="str">
        <f>TRIM('1. Raw Data'!F103)</f>
        <v>David Kim</v>
      </c>
      <c r="J103" s="27" t="str">
        <f>PROPER(TRIM('1. Raw Data'!G103))</f>
        <v>Active</v>
      </c>
      <c r="K103" s="27" t="str">
        <f>TRIM('1. Raw Data'!H103)</f>
        <v>Low</v>
      </c>
      <c r="L103" s="29">
        <f>IFERROR(IF('1. Raw Data'!I103="",AVERAGE(IF('1. Raw Data'!I3:I402&lt;&gt;"",'1. Raw Data'!I3:I402)),VALUE('1. Raw Data'!I103)),0)</f>
        <v>122920.91</v>
      </c>
      <c r="M103" s="30">
        <f>IFERROR(IF('1. Raw Data'!J103="",AVERAGE(IF('1. Raw Data'!J3:J402&lt;&gt;"",'1. Raw Data'!J3:J402)),VALUE('1. Raw Data'!J103)),0)</f>
        <v>4.6500000000000004</v>
      </c>
      <c r="N103" s="28">
        <f>'1. Raw Data'!K103</f>
        <v>240</v>
      </c>
      <c r="O103" s="29">
        <f t="shared" si="7"/>
        <v>787.64633747771484</v>
      </c>
      <c r="P103" s="28">
        <f>'1. Raw Data'!L103</f>
        <v>59</v>
      </c>
      <c r="Q103" s="27" t="str">
        <f>TRIM('1. Raw Data'!M103)</f>
        <v>Premium</v>
      </c>
    </row>
    <row r="104" spans="1:17" ht="16.5" customHeight="1" x14ac:dyDescent="0.45">
      <c r="A104" s="31" t="str">
        <f>'1. Raw Data'!A104</f>
        <v>TXN-100102</v>
      </c>
      <c r="B104" s="32">
        <f>IFERROR(DATEVALUE('1. Raw Data'!B104),"")</f>
        <v>45330</v>
      </c>
      <c r="C104" s="33" t="str">
        <f t="shared" si="4"/>
        <v>Feb</v>
      </c>
      <c r="D104" s="33" t="str">
        <f t="shared" si="5"/>
        <v>Q1</v>
      </c>
      <c r="E104" s="34">
        <f t="shared" si="6"/>
        <v>2024</v>
      </c>
      <c r="F104" s="31" t="str">
        <f>PROPER(TRIM('1. Raw Data'!C104))</f>
        <v>Northpark</v>
      </c>
      <c r="G104" s="31" t="str">
        <f>TRIM('1. Raw Data'!D104)</f>
        <v>Checking Account</v>
      </c>
      <c r="H104" s="31" t="str">
        <f>TRIM('1. Raw Data'!E104)</f>
        <v>Deposits</v>
      </c>
      <c r="I104" s="31" t="str">
        <f>TRIM('1. Raw Data'!F104)</f>
        <v>James Patel</v>
      </c>
      <c r="J104" s="33" t="str">
        <f>PROPER(TRIM('1. Raw Data'!G104))</f>
        <v>Active</v>
      </c>
      <c r="K104" s="33" t="str">
        <f>TRIM('1. Raw Data'!H104)</f>
        <v>Low</v>
      </c>
      <c r="L104" s="35">
        <f>IFERROR(IF('1. Raw Data'!I104="",AVERAGE(IF('1. Raw Data'!I3:I402&lt;&gt;"",'1. Raw Data'!I3:I402)),VALUE('1. Raw Data'!I104)),0)</f>
        <v>86422.63</v>
      </c>
      <c r="M104" s="36">
        <f>IFERROR(IF('1. Raw Data'!J104="",AVERAGE(IF('1. Raw Data'!J3:J402&lt;&gt;"",'1. Raw Data'!J3:J402)),VALUE('1. Raw Data'!J104)),0)</f>
        <v>7.65</v>
      </c>
      <c r="N104" s="34">
        <f>'1. Raw Data'!K104</f>
        <v>36</v>
      </c>
      <c r="O104" s="35">
        <f t="shared" si="7"/>
        <v>2694.2388581574737</v>
      </c>
      <c r="P104" s="34">
        <f>'1. Raw Data'!L104</f>
        <v>59</v>
      </c>
      <c r="Q104" s="33" t="str">
        <f>TRIM('1. Raw Data'!M104)</f>
        <v>Standard</v>
      </c>
    </row>
    <row r="105" spans="1:17" ht="16.5" customHeight="1" x14ac:dyDescent="0.45">
      <c r="A105" s="25" t="str">
        <f>'1. Raw Data'!A105</f>
        <v>TXN-100103</v>
      </c>
      <c r="B105" s="26">
        <f>IFERROR(DATEVALUE('1. Raw Data'!B105),"")</f>
        <v>45323</v>
      </c>
      <c r="C105" s="27" t="str">
        <f t="shared" si="4"/>
        <v>Feb</v>
      </c>
      <c r="D105" s="27" t="str">
        <f t="shared" si="5"/>
        <v>Q1</v>
      </c>
      <c r="E105" s="28">
        <f t="shared" si="6"/>
        <v>2024</v>
      </c>
      <c r="F105" s="25" t="str">
        <f>PROPER(TRIM('1. Raw Data'!C105))</f>
        <v>Eastgate</v>
      </c>
      <c r="G105" s="25" t="str">
        <f>TRIM('1. Raw Data'!D105)</f>
        <v>Auto Loan</v>
      </c>
      <c r="H105" s="25" t="str">
        <f>TRIM('1. Raw Data'!E105)</f>
        <v>Loans</v>
      </c>
      <c r="I105" s="25" t="str">
        <f>TRIM('1. Raw Data'!F105)</f>
        <v>Maria Lopez</v>
      </c>
      <c r="J105" s="27" t="str">
        <f>PROPER(TRIM('1. Raw Data'!G105))</f>
        <v>Pending</v>
      </c>
      <c r="K105" s="27" t="str">
        <f>TRIM('1. Raw Data'!H105)</f>
        <v>Medium</v>
      </c>
      <c r="L105" s="29">
        <f>IFERROR(IF('1. Raw Data'!I105="",AVERAGE(IF('1. Raw Data'!I3:I402&lt;&gt;"",'1. Raw Data'!I3:I402)),VALUE('1. Raw Data'!I105)),0)</f>
        <v>237778.74</v>
      </c>
      <c r="M105" s="30">
        <f>IFERROR(IF('1. Raw Data'!J105="",AVERAGE(IF('1. Raw Data'!J3:J402&lt;&gt;"",'1. Raw Data'!J3:J402)),VALUE('1. Raw Data'!J105)),0)</f>
        <v>3.05</v>
      </c>
      <c r="N105" s="28">
        <f>'1. Raw Data'!K105</f>
        <v>120</v>
      </c>
      <c r="O105" s="29">
        <f t="shared" si="7"/>
        <v>2301.5012375646033</v>
      </c>
      <c r="P105" s="28">
        <f>'1. Raw Data'!L105</f>
        <v>38</v>
      </c>
      <c r="Q105" s="27" t="str">
        <f>TRIM('1. Raw Data'!M105)</f>
        <v>Premium</v>
      </c>
    </row>
    <row r="106" spans="1:17" ht="16.5" customHeight="1" x14ac:dyDescent="0.45">
      <c r="A106" s="31" t="str">
        <f>'1. Raw Data'!A106</f>
        <v>TXN-100104</v>
      </c>
      <c r="B106" s="32">
        <f>IFERROR(DATEVALUE('1. Raw Data'!B106),"")</f>
        <v>45462</v>
      </c>
      <c r="C106" s="33" t="str">
        <f t="shared" si="4"/>
        <v>Jun</v>
      </c>
      <c r="D106" s="33" t="str">
        <f t="shared" si="5"/>
        <v>Q2</v>
      </c>
      <c r="E106" s="34">
        <f t="shared" si="6"/>
        <v>2024</v>
      </c>
      <c r="F106" s="31" t="str">
        <f>PROPER(TRIM('1. Raw Data'!C106))</f>
        <v>Northpark</v>
      </c>
      <c r="G106" s="31" t="str">
        <f>TRIM('1. Raw Data'!D106)</f>
        <v>Checking Account</v>
      </c>
      <c r="H106" s="31" t="str">
        <f>TRIM('1. Raw Data'!E106)</f>
        <v>Deposits</v>
      </c>
      <c r="I106" s="31" t="str">
        <f>TRIM('1. Raw Data'!F106)</f>
        <v>Sarah Chen</v>
      </c>
      <c r="J106" s="33" t="str">
        <f>PROPER(TRIM('1. Raw Data'!G106))</f>
        <v>Active</v>
      </c>
      <c r="K106" s="33" t="str">
        <f>TRIM('1. Raw Data'!H106)</f>
        <v>High</v>
      </c>
      <c r="L106" s="35">
        <f>IFERROR(IF('1. Raw Data'!I106="",AVERAGE(IF('1. Raw Data'!I3:I402&lt;&gt;"",'1. Raw Data'!I3:I402)),VALUE('1. Raw Data'!I106)),0)</f>
        <v>211360.26</v>
      </c>
      <c r="M106" s="36">
        <f>IFERROR(IF('1. Raw Data'!J106="",AVERAGE(IF('1. Raw Data'!J3:J402&lt;&gt;"",'1. Raw Data'!J3:J402)),VALUE('1. Raw Data'!J106)),0)</f>
        <v>0</v>
      </c>
      <c r="N106" s="34">
        <f>'1. Raw Data'!K106</f>
        <v>120</v>
      </c>
      <c r="O106" s="35">
        <f t="shared" si="7"/>
        <v>0</v>
      </c>
      <c r="P106" s="34">
        <f>'1. Raw Data'!L106</f>
        <v>33</v>
      </c>
      <c r="Q106" s="33" t="str">
        <f>TRIM('1. Raw Data'!M106)</f>
        <v>Premium</v>
      </c>
    </row>
    <row r="107" spans="1:17" ht="16.5" customHeight="1" x14ac:dyDescent="0.45">
      <c r="A107" s="25" t="str">
        <f>'1. Raw Data'!A107</f>
        <v>TXN-100105</v>
      </c>
      <c r="B107" s="26">
        <f>IFERROR(DATEVALUE('1. Raw Data'!B107),"")</f>
        <v>45400</v>
      </c>
      <c r="C107" s="27" t="str">
        <f t="shared" si="4"/>
        <v>Apr</v>
      </c>
      <c r="D107" s="27" t="str">
        <f t="shared" si="5"/>
        <v>Q2</v>
      </c>
      <c r="E107" s="28">
        <f t="shared" si="6"/>
        <v>2024</v>
      </c>
      <c r="F107" s="25" t="str">
        <f>PROPER(TRIM('1. Raw Data'!C107))</f>
        <v>Downtown</v>
      </c>
      <c r="G107" s="25" t="str">
        <f>TRIM('1. Raw Data'!D107)</f>
        <v>Business Loan</v>
      </c>
      <c r="H107" s="25" t="str">
        <f>TRIM('1. Raw Data'!E107)</f>
        <v>Loans</v>
      </c>
      <c r="I107" s="25" t="str">
        <f>TRIM('1. Raw Data'!F107)</f>
        <v>David Kim</v>
      </c>
      <c r="J107" s="27" t="str">
        <f>PROPER(TRIM('1. Raw Data'!G107))</f>
        <v>Active</v>
      </c>
      <c r="K107" s="27" t="str">
        <f>TRIM('1. Raw Data'!H107)</f>
        <v>Medium</v>
      </c>
      <c r="L107" s="29">
        <f>IFERROR(IF('1. Raw Data'!I107="",AVERAGE(IF('1. Raw Data'!I3:I402&lt;&gt;"",'1. Raw Data'!I3:I402)),VALUE('1. Raw Data'!I107)),0)</f>
        <v>56297.57</v>
      </c>
      <c r="M107" s="30">
        <f>IFERROR(IF('1. Raw Data'!J107="",AVERAGE(IF('1. Raw Data'!J3:J402&lt;&gt;"",'1. Raw Data'!J3:J402)),VALUE('1. Raw Data'!J107)),0)</f>
        <v>7.33</v>
      </c>
      <c r="N107" s="28">
        <f>'1. Raw Data'!K107</f>
        <v>360</v>
      </c>
      <c r="O107" s="29">
        <f t="shared" si="7"/>
        <v>387.10820423034585</v>
      </c>
      <c r="P107" s="28">
        <f>'1. Raw Data'!L107</f>
        <v>39</v>
      </c>
      <c r="Q107" s="27" t="str">
        <f>TRIM('1. Raw Data'!M107)</f>
        <v>Standard</v>
      </c>
    </row>
    <row r="108" spans="1:17" ht="16.5" customHeight="1" x14ac:dyDescent="0.45">
      <c r="A108" s="31" t="str">
        <f>'1. Raw Data'!A108</f>
        <v>TXN-100106</v>
      </c>
      <c r="B108" s="32">
        <f>IFERROR(DATEVALUE('1. Raw Data'!B108),"")</f>
        <v>45616</v>
      </c>
      <c r="C108" s="33" t="str">
        <f t="shared" si="4"/>
        <v>Nov</v>
      </c>
      <c r="D108" s="33" t="str">
        <f t="shared" si="5"/>
        <v>Q4</v>
      </c>
      <c r="E108" s="34">
        <f t="shared" si="6"/>
        <v>2024</v>
      </c>
      <c r="F108" s="31" t="str">
        <f>PROPER(TRIM('1. Raw Data'!C108))</f>
        <v>Downtown</v>
      </c>
      <c r="G108" s="31" t="str">
        <f>TRIM('1. Raw Data'!D108)</f>
        <v>Checking Account</v>
      </c>
      <c r="H108" s="31" t="str">
        <f>TRIM('1. Raw Data'!E108)</f>
        <v>Deposits</v>
      </c>
      <c r="I108" s="31" t="str">
        <f>TRIM('1. Raw Data'!F108)</f>
        <v>Sarah Chen</v>
      </c>
      <c r="J108" s="33" t="str">
        <f>PROPER(TRIM('1. Raw Data'!G108))</f>
        <v>Active</v>
      </c>
      <c r="K108" s="33" t="str">
        <f>TRIM('1. Raw Data'!H108)</f>
        <v>High</v>
      </c>
      <c r="L108" s="35">
        <f>IFERROR(IF('1. Raw Data'!I108="",AVERAGE(IF('1. Raw Data'!I3:I402&lt;&gt;"",'1. Raw Data'!I3:I402)),VALUE('1. Raw Data'!I108)),0)</f>
        <v>12498.44</v>
      </c>
      <c r="M108" s="36">
        <f>IFERROR(IF('1. Raw Data'!J108="",AVERAGE(IF('1. Raw Data'!J3:J402&lt;&gt;"",'1. Raw Data'!J3:J402)),VALUE('1. Raw Data'!J108)),0)</f>
        <v>12.15</v>
      </c>
      <c r="N108" s="34">
        <f>'1. Raw Data'!K108</f>
        <v>120</v>
      </c>
      <c r="O108" s="35">
        <f t="shared" si="7"/>
        <v>180.40174649066708</v>
      </c>
      <c r="P108" s="34">
        <f>'1. Raw Data'!L108</f>
        <v>33</v>
      </c>
      <c r="Q108" s="33" t="str">
        <f>TRIM('1. Raw Data'!M108)</f>
        <v>Basic</v>
      </c>
    </row>
    <row r="109" spans="1:17" ht="16.5" customHeight="1" x14ac:dyDescent="0.45">
      <c r="A109" s="25" t="str">
        <f>'1. Raw Data'!A109</f>
        <v>TXN-100107</v>
      </c>
      <c r="B109" s="26">
        <f>IFERROR(DATEVALUE('1. Raw Data'!B109),"")</f>
        <v>45360</v>
      </c>
      <c r="C109" s="27" t="str">
        <f t="shared" si="4"/>
        <v>Mar</v>
      </c>
      <c r="D109" s="27" t="str">
        <f t="shared" si="5"/>
        <v>Q1</v>
      </c>
      <c r="E109" s="28">
        <f t="shared" si="6"/>
        <v>2024</v>
      </c>
      <c r="F109" s="25" t="str">
        <f>PROPER(TRIM('1. Raw Data'!C109))</f>
        <v>Uptown</v>
      </c>
      <c r="G109" s="25" t="str">
        <f>TRIM('1. Raw Data'!D109)</f>
        <v>Auto Loan</v>
      </c>
      <c r="H109" s="25" t="str">
        <f>TRIM('1. Raw Data'!E109)</f>
        <v>Loans</v>
      </c>
      <c r="I109" s="25" t="str">
        <f>TRIM('1. Raw Data'!F109)</f>
        <v>David Kim</v>
      </c>
      <c r="J109" s="27" t="str">
        <f>PROPER(TRIM('1. Raw Data'!G109))</f>
        <v>Active</v>
      </c>
      <c r="K109" s="27" t="str">
        <f>TRIM('1. Raw Data'!H109)</f>
        <v>Medium</v>
      </c>
      <c r="L109" s="29">
        <f>IFERROR(IF('1. Raw Data'!I109="",AVERAGE(IF('1. Raw Data'!I3:I402&lt;&gt;"",'1. Raw Data'!I3:I402)),VALUE('1. Raw Data'!I109)),0)</f>
        <v>100903.22</v>
      </c>
      <c r="M109" s="30">
        <f>IFERROR(IF('1. Raw Data'!J109="",AVERAGE(IF('1. Raw Data'!J3:J402&lt;&gt;"",'1. Raw Data'!J3:J402)),VALUE('1. Raw Data'!J109)),0)</f>
        <v>7.65</v>
      </c>
      <c r="N109" s="28">
        <f>'1. Raw Data'!K109</f>
        <v>120</v>
      </c>
      <c r="O109" s="29">
        <f t="shared" si="7"/>
        <v>1205.653348070331</v>
      </c>
      <c r="P109" s="28">
        <f>'1. Raw Data'!L109</f>
        <v>51</v>
      </c>
      <c r="Q109" s="27" t="str">
        <f>TRIM('1. Raw Data'!M109)</f>
        <v>Premium</v>
      </c>
    </row>
    <row r="110" spans="1:17" ht="16.5" customHeight="1" x14ac:dyDescent="0.45">
      <c r="A110" s="31" t="str">
        <f>'1. Raw Data'!A110</f>
        <v>TXN-100108</v>
      </c>
      <c r="B110" s="32">
        <f>IFERROR(DATEVALUE('1. Raw Data'!B110),"")</f>
        <v>45363</v>
      </c>
      <c r="C110" s="33" t="str">
        <f t="shared" si="4"/>
        <v>Mar</v>
      </c>
      <c r="D110" s="33" t="str">
        <f t="shared" si="5"/>
        <v>Q1</v>
      </c>
      <c r="E110" s="34">
        <f t="shared" si="6"/>
        <v>2024</v>
      </c>
      <c r="F110" s="31" t="str">
        <f>PROPER(TRIM('1. Raw Data'!C110))</f>
        <v>Northpark</v>
      </c>
      <c r="G110" s="31" t="str">
        <f>TRIM('1. Raw Data'!D110)</f>
        <v>Mortgage</v>
      </c>
      <c r="H110" s="31" t="str">
        <f>TRIM('1. Raw Data'!E110)</f>
        <v>Loans</v>
      </c>
      <c r="I110" s="31" t="str">
        <f>TRIM('1. Raw Data'!F110)</f>
        <v>David Kim</v>
      </c>
      <c r="J110" s="33" t="str">
        <f>PROPER(TRIM('1. Raw Data'!G110))</f>
        <v>Inactive</v>
      </c>
      <c r="K110" s="33" t="str">
        <f>TRIM('1. Raw Data'!H110)</f>
        <v>High</v>
      </c>
      <c r="L110" s="35">
        <f>IFERROR(IF('1. Raw Data'!I110="",AVERAGE(IF('1. Raw Data'!I3:I402&lt;&gt;"",'1. Raw Data'!I3:I402)),VALUE('1. Raw Data'!I110)),0)</f>
        <v>54320.95</v>
      </c>
      <c r="M110" s="36">
        <f>IFERROR(IF('1. Raw Data'!J110="",AVERAGE(IF('1. Raw Data'!J3:J402&lt;&gt;"",'1. Raw Data'!J3:J402)),VALUE('1. Raw Data'!J110)),0)</f>
        <v>10.9</v>
      </c>
      <c r="N110" s="34">
        <f>'1. Raw Data'!K110</f>
        <v>240</v>
      </c>
      <c r="O110" s="35">
        <f t="shared" si="7"/>
        <v>557.00241057980782</v>
      </c>
      <c r="P110" s="34">
        <f>'1. Raw Data'!L110</f>
        <v>48</v>
      </c>
      <c r="Q110" s="33" t="str">
        <f>TRIM('1. Raw Data'!M110)</f>
        <v>Standard</v>
      </c>
    </row>
    <row r="111" spans="1:17" ht="16.5" customHeight="1" x14ac:dyDescent="0.45">
      <c r="A111" s="25" t="str">
        <f>'1. Raw Data'!A111</f>
        <v>TXN-100109</v>
      </c>
      <c r="B111" s="26">
        <f>IFERROR(DATEVALUE('1. Raw Data'!B111),"")</f>
        <v>45416</v>
      </c>
      <c r="C111" s="27" t="str">
        <f t="shared" si="4"/>
        <v>May</v>
      </c>
      <c r="D111" s="27" t="str">
        <f t="shared" si="5"/>
        <v>Q2</v>
      </c>
      <c r="E111" s="28">
        <f t="shared" si="6"/>
        <v>2024</v>
      </c>
      <c r="F111" s="25" t="str">
        <f>PROPER(TRIM('1. Raw Data'!C111))</f>
        <v>Westside</v>
      </c>
      <c r="G111" s="25" t="str">
        <f>TRIM('1. Raw Data'!D111)</f>
        <v>Auto Loan</v>
      </c>
      <c r="H111" s="25" t="str">
        <f>TRIM('1. Raw Data'!E111)</f>
        <v>Loans</v>
      </c>
      <c r="I111" s="25" t="str">
        <f>TRIM('1. Raw Data'!F111)</f>
        <v>James Patel</v>
      </c>
      <c r="J111" s="27" t="str">
        <f>PROPER(TRIM('1. Raw Data'!G111))</f>
        <v>Active</v>
      </c>
      <c r="K111" s="27" t="str">
        <f>TRIM('1. Raw Data'!H111)</f>
        <v>Low</v>
      </c>
      <c r="L111" s="29">
        <f>IFERROR(IF('1. Raw Data'!I111="",AVERAGE(IF('1. Raw Data'!I3:I402&lt;&gt;"",'1. Raw Data'!I3:I402)),VALUE('1. Raw Data'!I111)),0)</f>
        <v>74728.460000000006</v>
      </c>
      <c r="M111" s="30">
        <f>IFERROR(IF('1. Raw Data'!J111="",AVERAGE(IF('1. Raw Data'!J3:J402&lt;&gt;"",'1. Raw Data'!J3:J402)),VALUE('1. Raw Data'!J111)),0)</f>
        <v>5.9</v>
      </c>
      <c r="N111" s="28">
        <f>'1. Raw Data'!K111</f>
        <v>120</v>
      </c>
      <c r="O111" s="29">
        <f t="shared" si="7"/>
        <v>825.89139316747685</v>
      </c>
      <c r="P111" s="28">
        <f>'1. Raw Data'!L111</f>
        <v>65</v>
      </c>
      <c r="Q111" s="27" t="str">
        <f>TRIM('1. Raw Data'!M111)</f>
        <v>Standard</v>
      </c>
    </row>
    <row r="112" spans="1:17" ht="16.5" customHeight="1" x14ac:dyDescent="0.45">
      <c r="A112" s="31" t="str">
        <f>'1. Raw Data'!A112</f>
        <v>TXN-100110</v>
      </c>
      <c r="B112" s="32">
        <f>IFERROR(DATEVALUE('1. Raw Data'!B112),"")</f>
        <v>45580</v>
      </c>
      <c r="C112" s="33" t="str">
        <f t="shared" si="4"/>
        <v>Oct</v>
      </c>
      <c r="D112" s="33" t="str">
        <f t="shared" si="5"/>
        <v>Q4</v>
      </c>
      <c r="E112" s="34">
        <f t="shared" si="6"/>
        <v>2024</v>
      </c>
      <c r="F112" s="31" t="str">
        <f>PROPER(TRIM('1. Raw Data'!C112))</f>
        <v>Eastgate</v>
      </c>
      <c r="G112" s="31" t="str">
        <f>TRIM('1. Raw Data'!D112)</f>
        <v>Personal Loan</v>
      </c>
      <c r="H112" s="31" t="str">
        <f>TRIM('1. Raw Data'!E112)</f>
        <v>Loans</v>
      </c>
      <c r="I112" s="31" t="str">
        <f>TRIM('1. Raw Data'!F112)</f>
        <v>David Kim</v>
      </c>
      <c r="J112" s="33" t="str">
        <f>PROPER(TRIM('1. Raw Data'!G112))</f>
        <v>Active</v>
      </c>
      <c r="K112" s="33" t="str">
        <f>TRIM('1. Raw Data'!H112)</f>
        <v>Medium</v>
      </c>
      <c r="L112" s="35">
        <f>IFERROR(IF('1. Raw Data'!I112="",AVERAGE(IF('1. Raw Data'!I3:I402&lt;&gt;"",'1. Raw Data'!I3:I402)),VALUE('1. Raw Data'!I112)),0)</f>
        <v>58269.31</v>
      </c>
      <c r="M112" s="36">
        <f>IFERROR(IF('1. Raw Data'!J112="",AVERAGE(IF('1. Raw Data'!J3:J402&lt;&gt;"",'1. Raw Data'!J3:J402)),VALUE('1. Raw Data'!J112)),0)</f>
        <v>2.81</v>
      </c>
      <c r="N112" s="34">
        <f>'1. Raw Data'!K112</f>
        <v>180</v>
      </c>
      <c r="O112" s="35">
        <f t="shared" si="7"/>
        <v>397.09393833060301</v>
      </c>
      <c r="P112" s="34">
        <f>'1. Raw Data'!L112</f>
        <v>59</v>
      </c>
      <c r="Q112" s="33" t="str">
        <f>TRIM('1. Raw Data'!M112)</f>
        <v>Standard</v>
      </c>
    </row>
    <row r="113" spans="1:17" ht="16.5" customHeight="1" x14ac:dyDescent="0.45">
      <c r="A113" s="25" t="str">
        <f>'1. Raw Data'!A113</f>
        <v>TXN-100111</v>
      </c>
      <c r="B113" s="26">
        <f>IFERROR(DATEVALUE('1. Raw Data'!B113),"")</f>
        <v>45420</v>
      </c>
      <c r="C113" s="27" t="str">
        <f t="shared" si="4"/>
        <v>May</v>
      </c>
      <c r="D113" s="27" t="str">
        <f t="shared" si="5"/>
        <v>Q2</v>
      </c>
      <c r="E113" s="28">
        <f t="shared" si="6"/>
        <v>2024</v>
      </c>
      <c r="F113" s="25" t="str">
        <f>PROPER(TRIM('1. Raw Data'!C113))</f>
        <v>Westside</v>
      </c>
      <c r="G113" s="25" t="str">
        <f>TRIM('1. Raw Data'!D113)</f>
        <v>Fixed Deposit</v>
      </c>
      <c r="H113" s="25" t="str">
        <f>TRIM('1. Raw Data'!E113)</f>
        <v>Deposits</v>
      </c>
      <c r="I113" s="25" t="str">
        <f>TRIM('1. Raw Data'!F113)</f>
        <v>Rachel Moore</v>
      </c>
      <c r="J113" s="27" t="str">
        <f>PROPER(TRIM('1. Raw Data'!G113))</f>
        <v>Active</v>
      </c>
      <c r="K113" s="27" t="str">
        <f>TRIM('1. Raw Data'!H113)</f>
        <v>High</v>
      </c>
      <c r="L113" s="29">
        <f>IFERROR(IF('1. Raw Data'!I113="",AVERAGE(IF('1. Raw Data'!I3:I402&lt;&gt;"",'1. Raw Data'!I3:I402)),VALUE('1. Raw Data'!I113)),0)</f>
        <v>171599.37</v>
      </c>
      <c r="M113" s="30">
        <f>IFERROR(IF('1. Raw Data'!J113="",AVERAGE(IF('1. Raw Data'!J3:J402&lt;&gt;"",'1. Raw Data'!J3:J402)),VALUE('1. Raw Data'!J113)),0)</f>
        <v>10.58</v>
      </c>
      <c r="N113" s="28">
        <f>'1. Raw Data'!K113</f>
        <v>60</v>
      </c>
      <c r="O113" s="29">
        <f t="shared" si="7"/>
        <v>3695.1439782800048</v>
      </c>
      <c r="P113" s="28">
        <f>'1. Raw Data'!L113</f>
        <v>59</v>
      </c>
      <c r="Q113" s="27" t="str">
        <f>TRIM('1. Raw Data'!M113)</f>
        <v>Premium</v>
      </c>
    </row>
    <row r="114" spans="1:17" ht="16.5" customHeight="1" x14ac:dyDescent="0.45">
      <c r="A114" s="31" t="str">
        <f>'1. Raw Data'!A114</f>
        <v>TXN-100112</v>
      </c>
      <c r="B114" s="32">
        <f>IFERROR(DATEVALUE('1. Raw Data'!B114),"")</f>
        <v>45563</v>
      </c>
      <c r="C114" s="33" t="str">
        <f t="shared" si="4"/>
        <v>Sep</v>
      </c>
      <c r="D114" s="33" t="str">
        <f t="shared" si="5"/>
        <v>Q3</v>
      </c>
      <c r="E114" s="34">
        <f t="shared" si="6"/>
        <v>2024</v>
      </c>
      <c r="F114" s="31" t="str">
        <f>PROPER(TRIM('1. Raw Data'!C114))</f>
        <v>Uptown</v>
      </c>
      <c r="G114" s="31" t="str">
        <f>TRIM('1. Raw Data'!D114)</f>
        <v>Mortgage</v>
      </c>
      <c r="H114" s="31" t="str">
        <f>TRIM('1. Raw Data'!E114)</f>
        <v>Loans</v>
      </c>
      <c r="I114" s="31" t="str">
        <f>TRIM('1. Raw Data'!F114)</f>
        <v>Sarah Chen</v>
      </c>
      <c r="J114" s="33" t="str">
        <f>PROPER(TRIM('1. Raw Data'!G114))</f>
        <v>Active</v>
      </c>
      <c r="K114" s="33" t="str">
        <f>TRIM('1. Raw Data'!H114)</f>
        <v>High</v>
      </c>
      <c r="L114" s="35">
        <f>IFERROR(IF('1. Raw Data'!I114="",AVERAGE(IF('1. Raw Data'!I3:I402&lt;&gt;"",'1. Raw Data'!I3:I402)),VALUE('1. Raw Data'!I114)),0)</f>
        <v>233579.19</v>
      </c>
      <c r="M114" s="36">
        <f>IFERROR(IF('1. Raw Data'!J114="",AVERAGE(IF('1. Raw Data'!J3:J402&lt;&gt;"",'1. Raw Data'!J3:J402)),VALUE('1. Raw Data'!J114)),0)</f>
        <v>4.9800000000000004</v>
      </c>
      <c r="N114" s="34">
        <f>'1. Raw Data'!K114</f>
        <v>60</v>
      </c>
      <c r="O114" s="35">
        <f t="shared" si="7"/>
        <v>4405.7875311230664</v>
      </c>
      <c r="P114" s="34">
        <f>'1. Raw Data'!L114</f>
        <v>31</v>
      </c>
      <c r="Q114" s="33" t="str">
        <f>TRIM('1. Raw Data'!M114)</f>
        <v>Premium</v>
      </c>
    </row>
    <row r="115" spans="1:17" ht="16.5" customHeight="1" x14ac:dyDescent="0.45">
      <c r="A115" s="25" t="str">
        <f>'1. Raw Data'!A115</f>
        <v>TXN-100113</v>
      </c>
      <c r="B115" s="26">
        <f>IFERROR(DATEVALUE('1. Raw Data'!B115),"")</f>
        <v>45547</v>
      </c>
      <c r="C115" s="27" t="str">
        <f t="shared" si="4"/>
        <v>Sep</v>
      </c>
      <c r="D115" s="27" t="str">
        <f t="shared" si="5"/>
        <v>Q3</v>
      </c>
      <c r="E115" s="28">
        <f t="shared" si="6"/>
        <v>2024</v>
      </c>
      <c r="F115" s="25" t="str">
        <f>PROPER(TRIM('1. Raw Data'!C115))</f>
        <v>Westside</v>
      </c>
      <c r="G115" s="25" t="str">
        <f>TRIM('1. Raw Data'!D115)</f>
        <v>Credit Card</v>
      </c>
      <c r="H115" s="25" t="str">
        <f>TRIM('1. Raw Data'!E115)</f>
        <v>Cards</v>
      </c>
      <c r="I115" s="25" t="str">
        <f>TRIM('1. Raw Data'!F115)</f>
        <v>Sarah Chen</v>
      </c>
      <c r="J115" s="27" t="str">
        <f>PROPER(TRIM('1. Raw Data'!G115))</f>
        <v>Active</v>
      </c>
      <c r="K115" s="27" t="str">
        <f>TRIM('1. Raw Data'!H115)</f>
        <v>Low</v>
      </c>
      <c r="L115" s="29">
        <f>IFERROR(IF('1. Raw Data'!I115="",AVERAGE(IF('1. Raw Data'!I3:I402&lt;&gt;"",'1. Raw Data'!I3:I402)),VALUE('1. Raw Data'!I115)),0)</f>
        <v>159161.46</v>
      </c>
      <c r="M115" s="30">
        <f>IFERROR(IF('1. Raw Data'!J115="",AVERAGE(IF('1. Raw Data'!J3:J402&lt;&gt;"",'1. Raw Data'!J3:J402)),VALUE('1. Raw Data'!J115)),0)</f>
        <v>7.16</v>
      </c>
      <c r="N115" s="28">
        <f>'1. Raw Data'!K115</f>
        <v>36</v>
      </c>
      <c r="O115" s="29">
        <f t="shared" si="7"/>
        <v>4926.0955673617027</v>
      </c>
      <c r="P115" s="28">
        <f>'1. Raw Data'!L115</f>
        <v>42</v>
      </c>
      <c r="Q115" s="27" t="str">
        <f>TRIM('1. Raw Data'!M115)</f>
        <v>Premium</v>
      </c>
    </row>
    <row r="116" spans="1:17" ht="16.5" customHeight="1" x14ac:dyDescent="0.45">
      <c r="A116" s="31" t="str">
        <f>'1. Raw Data'!A116</f>
        <v>TXN-100114</v>
      </c>
      <c r="B116" s="32">
        <f>IFERROR(DATEVALUE('1. Raw Data'!B116),"")</f>
        <v>45539</v>
      </c>
      <c r="C116" s="33" t="str">
        <f t="shared" si="4"/>
        <v>Sep</v>
      </c>
      <c r="D116" s="33" t="str">
        <f t="shared" si="5"/>
        <v>Q3</v>
      </c>
      <c r="E116" s="34">
        <f t="shared" si="6"/>
        <v>2024</v>
      </c>
      <c r="F116" s="31" t="str">
        <f>PROPER(TRIM('1. Raw Data'!C116))</f>
        <v>Downtown</v>
      </c>
      <c r="G116" s="31" t="str">
        <f>TRIM('1. Raw Data'!D116)</f>
        <v>Auto Loan</v>
      </c>
      <c r="H116" s="31" t="str">
        <f>TRIM('1. Raw Data'!E116)</f>
        <v>Loans</v>
      </c>
      <c r="I116" s="31" t="str">
        <f>TRIM('1. Raw Data'!F116)</f>
        <v>Rachel Moore</v>
      </c>
      <c r="J116" s="33" t="str">
        <f>PROPER(TRIM('1. Raw Data'!G116))</f>
        <v>Active</v>
      </c>
      <c r="K116" s="33" t="str">
        <f>TRIM('1. Raw Data'!H116)</f>
        <v>Medium</v>
      </c>
      <c r="L116" s="35">
        <f>IFERROR(IF('1. Raw Data'!I116="",AVERAGE(IF('1. Raw Data'!I3:I402&lt;&gt;"",'1. Raw Data'!I3:I402)),VALUE('1. Raw Data'!I116)),0)</f>
        <v>207985.53</v>
      </c>
      <c r="M116" s="36">
        <f>IFERROR(IF('1. Raw Data'!J116="",AVERAGE(IF('1. Raw Data'!J3:J402&lt;&gt;"",'1. Raw Data'!J3:J402)),VALUE('1. Raw Data'!J116)),0)</f>
        <v>4.0999999999999996</v>
      </c>
      <c r="N116" s="34">
        <f>'1. Raw Data'!K116</f>
        <v>120</v>
      </c>
      <c r="O116" s="35">
        <f t="shared" si="7"/>
        <v>2115.6512176969245</v>
      </c>
      <c r="P116" s="34">
        <f>'1. Raw Data'!L116</f>
        <v>51</v>
      </c>
      <c r="Q116" s="33" t="str">
        <f>TRIM('1. Raw Data'!M116)</f>
        <v>Premium</v>
      </c>
    </row>
    <row r="117" spans="1:17" ht="16.5" customHeight="1" x14ac:dyDescent="0.45">
      <c r="A117" s="25" t="str">
        <f>'1. Raw Data'!A117</f>
        <v>TXN-100115</v>
      </c>
      <c r="B117" s="26">
        <f>IFERROR(DATEVALUE('1. Raw Data'!B117),"")</f>
        <v>45416</v>
      </c>
      <c r="C117" s="27" t="str">
        <f t="shared" si="4"/>
        <v>May</v>
      </c>
      <c r="D117" s="27" t="str">
        <f t="shared" si="5"/>
        <v>Q2</v>
      </c>
      <c r="E117" s="28">
        <f t="shared" si="6"/>
        <v>2024</v>
      </c>
      <c r="F117" s="25" t="str">
        <f>PROPER(TRIM('1. Raw Data'!C117))</f>
        <v>Eastgate</v>
      </c>
      <c r="G117" s="25" t="str">
        <f>TRIM('1. Raw Data'!D117)</f>
        <v>Business Loan</v>
      </c>
      <c r="H117" s="25" t="str">
        <f>TRIM('1. Raw Data'!E117)</f>
        <v>Loans</v>
      </c>
      <c r="I117" s="25" t="str">
        <f>TRIM('1. Raw Data'!F117)</f>
        <v>James Patel</v>
      </c>
      <c r="J117" s="27" t="str">
        <f>PROPER(TRIM('1. Raw Data'!G117))</f>
        <v>Active</v>
      </c>
      <c r="K117" s="27" t="str">
        <f>TRIM('1. Raw Data'!H117)</f>
        <v>Medium</v>
      </c>
      <c r="L117" s="29">
        <f>IFERROR(IF('1. Raw Data'!I117="",AVERAGE(IF('1. Raw Data'!I3:I402&lt;&gt;"",'1. Raw Data'!I3:I402)),VALUE('1. Raw Data'!I117)),0)</f>
        <v>214763.43</v>
      </c>
      <c r="M117" s="30">
        <f>IFERROR(IF('1. Raw Data'!J117="",AVERAGE(IF('1. Raw Data'!J3:J402&lt;&gt;"",'1. Raw Data'!J3:J402)),VALUE('1. Raw Data'!J117)),0)</f>
        <v>9.2100000000000009</v>
      </c>
      <c r="N117" s="28">
        <f>'1. Raw Data'!K117</f>
        <v>24</v>
      </c>
      <c r="O117" s="29">
        <f t="shared" si="7"/>
        <v>9832.1177458110578</v>
      </c>
      <c r="P117" s="28">
        <f>'1. Raw Data'!L117</f>
        <v>53</v>
      </c>
      <c r="Q117" s="27" t="str">
        <f>TRIM('1. Raw Data'!M117)</f>
        <v>Premium</v>
      </c>
    </row>
    <row r="118" spans="1:17" ht="16.5" customHeight="1" x14ac:dyDescent="0.45">
      <c r="A118" s="31" t="str">
        <f>'1. Raw Data'!A118</f>
        <v>TXN-100116</v>
      </c>
      <c r="B118" s="32">
        <f>IFERROR(DATEVALUE('1. Raw Data'!B118),"")</f>
        <v>45292</v>
      </c>
      <c r="C118" s="33" t="str">
        <f t="shared" si="4"/>
        <v>Jan</v>
      </c>
      <c r="D118" s="33" t="str">
        <f t="shared" si="5"/>
        <v>Q1</v>
      </c>
      <c r="E118" s="34">
        <f t="shared" si="6"/>
        <v>2024</v>
      </c>
      <c r="F118" s="31" t="str">
        <f>PROPER(TRIM('1. Raw Data'!C118))</f>
        <v>Eastgate</v>
      </c>
      <c r="G118" s="31" t="str">
        <f>TRIM('1. Raw Data'!D118)</f>
        <v>Savings Account</v>
      </c>
      <c r="H118" s="31" t="str">
        <f>TRIM('1. Raw Data'!E118)</f>
        <v>Deposits</v>
      </c>
      <c r="I118" s="31" t="str">
        <f>TRIM('1. Raw Data'!F118)</f>
        <v>Sarah Chen</v>
      </c>
      <c r="J118" s="33" t="str">
        <f>PROPER(TRIM('1. Raw Data'!G118))</f>
        <v>Active</v>
      </c>
      <c r="K118" s="33" t="str">
        <f>TRIM('1. Raw Data'!H118)</f>
        <v>Medium</v>
      </c>
      <c r="L118" s="35">
        <f>IFERROR(IF('1. Raw Data'!I118="",AVERAGE(IF('1. Raw Data'!I3:I402&lt;&gt;"",'1. Raw Data'!I3:I402)),VALUE('1. Raw Data'!I118)),0)</f>
        <v>245629.42</v>
      </c>
      <c r="M118" s="36">
        <f>IFERROR(IF('1. Raw Data'!J118="",AVERAGE(IF('1. Raw Data'!J3:J402&lt;&gt;"",'1. Raw Data'!J3:J402)),VALUE('1. Raw Data'!J118)),0)</f>
        <v>9.17</v>
      </c>
      <c r="N118" s="34">
        <f>'1. Raw Data'!K118</f>
        <v>6</v>
      </c>
      <c r="O118" s="35">
        <f t="shared" si="7"/>
        <v>42040.109724850205</v>
      </c>
      <c r="P118" s="34">
        <f>'1. Raw Data'!L118</f>
        <v>49</v>
      </c>
      <c r="Q118" s="33" t="str">
        <f>TRIM('1. Raw Data'!M118)</f>
        <v>Premium</v>
      </c>
    </row>
    <row r="119" spans="1:17" ht="16.5" customHeight="1" x14ac:dyDescent="0.45">
      <c r="A119" s="25" t="str">
        <f>'1. Raw Data'!A119</f>
        <v>TXN-100117</v>
      </c>
      <c r="B119" s="26">
        <f>IFERROR(DATEVALUE('1. Raw Data'!B119),"")</f>
        <v>45488</v>
      </c>
      <c r="C119" s="27" t="str">
        <f t="shared" si="4"/>
        <v>Jul</v>
      </c>
      <c r="D119" s="27" t="str">
        <f t="shared" si="5"/>
        <v>Q3</v>
      </c>
      <c r="E119" s="28">
        <f t="shared" si="6"/>
        <v>2024</v>
      </c>
      <c r="F119" s="25" t="str">
        <f>PROPER(TRIM('1. Raw Data'!C119))</f>
        <v>Northpark</v>
      </c>
      <c r="G119" s="25" t="str">
        <f>TRIM('1. Raw Data'!D119)</f>
        <v>Personal Loan</v>
      </c>
      <c r="H119" s="25" t="str">
        <f>TRIM('1. Raw Data'!E119)</f>
        <v>Loans</v>
      </c>
      <c r="I119" s="25" t="str">
        <f>TRIM('1. Raw Data'!F119)</f>
        <v>David Kim</v>
      </c>
      <c r="J119" s="27" t="str">
        <f>PROPER(TRIM('1. Raw Data'!G119))</f>
        <v>Pending</v>
      </c>
      <c r="K119" s="27" t="str">
        <f>TRIM('1. Raw Data'!H119)</f>
        <v>Low</v>
      </c>
      <c r="L119" s="29">
        <f>IFERROR(IF('1. Raw Data'!I119="",AVERAGE(IF('1. Raw Data'!I3:I402&lt;&gt;"",'1. Raw Data'!I3:I402)),VALUE('1. Raw Data'!I119)),0)</f>
        <v>53626.720000000001</v>
      </c>
      <c r="M119" s="30">
        <f>IFERROR(IF('1. Raw Data'!J119="",AVERAGE(IF('1. Raw Data'!J3:J402&lt;&gt;"",'1. Raw Data'!J3:J402)),VALUE('1. Raw Data'!J119)),0)</f>
        <v>4.01</v>
      </c>
      <c r="N119" s="28">
        <f>'1. Raw Data'!K119</f>
        <v>6</v>
      </c>
      <c r="O119" s="29">
        <f t="shared" si="7"/>
        <v>9042.6121431516221</v>
      </c>
      <c r="P119" s="28">
        <f>'1. Raw Data'!L119</f>
        <v>72</v>
      </c>
      <c r="Q119" s="27" t="str">
        <f>TRIM('1. Raw Data'!M119)</f>
        <v>Standard</v>
      </c>
    </row>
    <row r="120" spans="1:17" ht="16.5" customHeight="1" x14ac:dyDescent="0.45">
      <c r="A120" s="31" t="str">
        <f>'1. Raw Data'!A120</f>
        <v>TXN-100118</v>
      </c>
      <c r="B120" s="32">
        <f>IFERROR(DATEVALUE('1. Raw Data'!B120),"")</f>
        <v>45333</v>
      </c>
      <c r="C120" s="33" t="str">
        <f t="shared" si="4"/>
        <v>Feb</v>
      </c>
      <c r="D120" s="33" t="str">
        <f t="shared" si="5"/>
        <v>Q1</v>
      </c>
      <c r="E120" s="34">
        <f t="shared" si="6"/>
        <v>2024</v>
      </c>
      <c r="F120" s="31" t="str">
        <f>PROPER(TRIM('1. Raw Data'!C120))</f>
        <v>Eastgate</v>
      </c>
      <c r="G120" s="31" t="str">
        <f>TRIM('1. Raw Data'!D120)</f>
        <v>Personal Loan</v>
      </c>
      <c r="H120" s="31" t="str">
        <f>TRIM('1. Raw Data'!E120)</f>
        <v>Loans</v>
      </c>
      <c r="I120" s="31" t="str">
        <f>TRIM('1. Raw Data'!F120)</f>
        <v>Sarah Chen</v>
      </c>
      <c r="J120" s="33" t="str">
        <f>PROPER(TRIM('1. Raw Data'!G120))</f>
        <v>Active</v>
      </c>
      <c r="K120" s="33" t="str">
        <f>TRIM('1. Raw Data'!H120)</f>
        <v>High</v>
      </c>
      <c r="L120" s="35">
        <f>IFERROR(IF('1. Raw Data'!I120="",AVERAGE(IF('1. Raw Data'!I3:I402&lt;&gt;"",'1. Raw Data'!I3:I402)),VALUE('1. Raw Data'!I120)),0)</f>
        <v>55053.93</v>
      </c>
      <c r="M120" s="36">
        <f>IFERROR(IF('1. Raw Data'!J120="",AVERAGE(IF('1. Raw Data'!J3:J402&lt;&gt;"",'1. Raw Data'!J3:J402)),VALUE('1. Raw Data'!J120)),0)</f>
        <v>12.84</v>
      </c>
      <c r="N120" s="34">
        <f>'1. Raw Data'!K120</f>
        <v>60</v>
      </c>
      <c r="O120" s="35">
        <f t="shared" si="7"/>
        <v>1248.1414861809424</v>
      </c>
      <c r="P120" s="34">
        <f>'1. Raw Data'!L120</f>
        <v>64</v>
      </c>
      <c r="Q120" s="33" t="str">
        <f>TRIM('1. Raw Data'!M120)</f>
        <v>Standard</v>
      </c>
    </row>
    <row r="121" spans="1:17" ht="16.5" customHeight="1" x14ac:dyDescent="0.45">
      <c r="A121" s="25" t="str">
        <f>'1. Raw Data'!A121</f>
        <v>TXN-100119</v>
      </c>
      <c r="B121" s="26">
        <f>IFERROR(DATEVALUE('1. Raw Data'!B121),"")</f>
        <v>45464</v>
      </c>
      <c r="C121" s="27" t="str">
        <f t="shared" si="4"/>
        <v>Jun</v>
      </c>
      <c r="D121" s="27" t="str">
        <f t="shared" si="5"/>
        <v>Q2</v>
      </c>
      <c r="E121" s="28">
        <f t="shared" si="6"/>
        <v>2024</v>
      </c>
      <c r="F121" s="25" t="str">
        <f>PROPER(TRIM('1. Raw Data'!C121))</f>
        <v>Downtown</v>
      </c>
      <c r="G121" s="25" t="str">
        <f>TRIM('1. Raw Data'!D121)</f>
        <v>Checking Account</v>
      </c>
      <c r="H121" s="25" t="str">
        <f>TRIM('1. Raw Data'!E121)</f>
        <v>Deposits</v>
      </c>
      <c r="I121" s="25" t="str">
        <f>TRIM('1. Raw Data'!F121)</f>
        <v>Maria Lopez</v>
      </c>
      <c r="J121" s="27" t="str">
        <f>PROPER(TRIM('1. Raw Data'!G121))</f>
        <v>Inactive</v>
      </c>
      <c r="K121" s="27" t="str">
        <f>TRIM('1. Raw Data'!H121)</f>
        <v>Low</v>
      </c>
      <c r="L121" s="29">
        <f>IFERROR(IF('1. Raw Data'!I121="",AVERAGE(IF('1. Raw Data'!I3:I402&lt;&gt;"",'1. Raw Data'!I3:I402)),VALUE('1. Raw Data'!I121)),0)</f>
        <v>151507.57</v>
      </c>
      <c r="M121" s="30">
        <f>IFERROR(IF('1. Raw Data'!J121="",AVERAGE(IF('1. Raw Data'!J3:J402&lt;&gt;"",'1. Raw Data'!J3:J402)),VALUE('1. Raw Data'!J121)),0)</f>
        <v>13.98</v>
      </c>
      <c r="N121" s="28">
        <f>'1. Raw Data'!K121</f>
        <v>180</v>
      </c>
      <c r="O121" s="29">
        <f t="shared" si="7"/>
        <v>2015.6535981973693</v>
      </c>
      <c r="P121" s="28">
        <f>'1. Raw Data'!L121</f>
        <v>52</v>
      </c>
      <c r="Q121" s="27" t="str">
        <f>TRIM('1. Raw Data'!M121)</f>
        <v>Premium</v>
      </c>
    </row>
    <row r="122" spans="1:17" ht="16.5" customHeight="1" x14ac:dyDescent="0.45">
      <c r="A122" s="31" t="str">
        <f>'1. Raw Data'!A122</f>
        <v>TXN-100120</v>
      </c>
      <c r="B122" s="32">
        <f>IFERROR(DATEVALUE('1. Raw Data'!B122),"")</f>
        <v>45517</v>
      </c>
      <c r="C122" s="33" t="str">
        <f t="shared" si="4"/>
        <v>Aug</v>
      </c>
      <c r="D122" s="33" t="str">
        <f t="shared" si="5"/>
        <v>Q3</v>
      </c>
      <c r="E122" s="34">
        <f t="shared" si="6"/>
        <v>2024</v>
      </c>
      <c r="F122" s="31" t="str">
        <f>PROPER(TRIM('1. Raw Data'!C122))</f>
        <v>Eastgate</v>
      </c>
      <c r="G122" s="31" t="str">
        <f>TRIM('1. Raw Data'!D122)</f>
        <v>Credit Card</v>
      </c>
      <c r="H122" s="31" t="str">
        <f>TRIM('1. Raw Data'!E122)</f>
        <v>Cards</v>
      </c>
      <c r="I122" s="31" t="str">
        <f>TRIM('1. Raw Data'!F122)</f>
        <v>James Patel</v>
      </c>
      <c r="J122" s="33" t="str">
        <f>PROPER(TRIM('1. Raw Data'!G122))</f>
        <v>Inactive</v>
      </c>
      <c r="K122" s="33" t="str">
        <f>TRIM('1. Raw Data'!H122)</f>
        <v>Low</v>
      </c>
      <c r="L122" s="35">
        <f>IFERROR(IF('1. Raw Data'!I122="",AVERAGE(IF('1. Raw Data'!I3:I402&lt;&gt;"",'1. Raw Data'!I3:I402)),VALUE('1. Raw Data'!I122)),0)</f>
        <v>47820.58</v>
      </c>
      <c r="M122" s="36">
        <f>IFERROR(IF('1. Raw Data'!J122="",AVERAGE(IF('1. Raw Data'!J3:J402&lt;&gt;"",'1. Raw Data'!J3:J402)),VALUE('1. Raw Data'!J122)),0)</f>
        <v>11.11</v>
      </c>
      <c r="N122" s="34">
        <f>'1. Raw Data'!K122</f>
        <v>60</v>
      </c>
      <c r="O122" s="35">
        <f t="shared" si="7"/>
        <v>1042.3605444208363</v>
      </c>
      <c r="P122" s="34">
        <f>'1. Raw Data'!L122</f>
        <v>23</v>
      </c>
      <c r="Q122" s="33" t="str">
        <f>TRIM('1. Raw Data'!M122)</f>
        <v>Standard</v>
      </c>
    </row>
    <row r="123" spans="1:17" ht="16.5" customHeight="1" x14ac:dyDescent="0.45">
      <c r="A123" s="25" t="str">
        <f>'1. Raw Data'!A123</f>
        <v>TXN-100121</v>
      </c>
      <c r="B123" s="26">
        <f>IFERROR(DATEVALUE('1. Raw Data'!B123),"")</f>
        <v>45616</v>
      </c>
      <c r="C123" s="27" t="str">
        <f t="shared" si="4"/>
        <v>Nov</v>
      </c>
      <c r="D123" s="27" t="str">
        <f t="shared" si="5"/>
        <v>Q4</v>
      </c>
      <c r="E123" s="28">
        <f t="shared" si="6"/>
        <v>2024</v>
      </c>
      <c r="F123" s="25" t="str">
        <f>PROPER(TRIM('1. Raw Data'!C123))</f>
        <v>Downtown</v>
      </c>
      <c r="G123" s="25" t="str">
        <f>TRIM('1. Raw Data'!D123)</f>
        <v>Savings Account</v>
      </c>
      <c r="H123" s="25" t="str">
        <f>TRIM('1. Raw Data'!E123)</f>
        <v>Deposits</v>
      </c>
      <c r="I123" s="25" t="str">
        <f>TRIM('1. Raw Data'!F123)</f>
        <v>Rachel Moore</v>
      </c>
      <c r="J123" s="27" t="str">
        <f>PROPER(TRIM('1. Raw Data'!G123))</f>
        <v>Active</v>
      </c>
      <c r="K123" s="27" t="str">
        <f>TRIM('1. Raw Data'!H123)</f>
        <v>Medium</v>
      </c>
      <c r="L123" s="29">
        <f>IFERROR(IF('1. Raw Data'!I123="",AVERAGE(IF('1. Raw Data'!I3:I402&lt;&gt;"",'1. Raw Data'!I3:I402)),VALUE('1. Raw Data'!I123)),0)</f>
        <v>148109.14000000001</v>
      </c>
      <c r="M123" s="30">
        <f>IFERROR(IF('1. Raw Data'!J123="",AVERAGE(IF('1. Raw Data'!J3:J402&lt;&gt;"",'1. Raw Data'!J3:J402)),VALUE('1. Raw Data'!J123)),0)</f>
        <v>13.16</v>
      </c>
      <c r="N123" s="28">
        <f>'1. Raw Data'!K123</f>
        <v>24</v>
      </c>
      <c r="O123" s="29">
        <f t="shared" si="7"/>
        <v>7052.5144483580762</v>
      </c>
      <c r="P123" s="28">
        <f>'1. Raw Data'!L123</f>
        <v>45</v>
      </c>
      <c r="Q123" s="27" t="str">
        <f>TRIM('1. Raw Data'!M123)</f>
        <v>Premium</v>
      </c>
    </row>
    <row r="124" spans="1:17" ht="16.5" customHeight="1" x14ac:dyDescent="0.45">
      <c r="A124" s="31" t="str">
        <f>'1. Raw Data'!A124</f>
        <v>TXN-100122</v>
      </c>
      <c r="B124" s="32">
        <f>IFERROR(DATEVALUE('1. Raw Data'!B124),"")</f>
        <v>45391</v>
      </c>
      <c r="C124" s="33" t="str">
        <f t="shared" si="4"/>
        <v>Apr</v>
      </c>
      <c r="D124" s="33" t="str">
        <f t="shared" si="5"/>
        <v>Q2</v>
      </c>
      <c r="E124" s="34">
        <f t="shared" si="6"/>
        <v>2024</v>
      </c>
      <c r="F124" s="31" t="str">
        <f>PROPER(TRIM('1. Raw Data'!C124))</f>
        <v>Eastgate</v>
      </c>
      <c r="G124" s="31" t="str">
        <f>TRIM('1. Raw Data'!D124)</f>
        <v>Credit Card</v>
      </c>
      <c r="H124" s="31" t="str">
        <f>TRIM('1. Raw Data'!E124)</f>
        <v>Cards</v>
      </c>
      <c r="I124" s="31" t="str">
        <f>TRIM('1. Raw Data'!F124)</f>
        <v>James Patel</v>
      </c>
      <c r="J124" s="33" t="str">
        <f>PROPER(TRIM('1. Raw Data'!G124))</f>
        <v>Inactive</v>
      </c>
      <c r="K124" s="33" t="str">
        <f>TRIM('1. Raw Data'!H124)</f>
        <v>High</v>
      </c>
      <c r="L124" s="35">
        <f>IFERROR(IF('1. Raw Data'!I124="",AVERAGE(IF('1. Raw Data'!I3:I402&lt;&gt;"",'1. Raw Data'!I3:I402)),VALUE('1. Raw Data'!I124)),0)</f>
        <v>121427.67</v>
      </c>
      <c r="M124" s="36">
        <f>IFERROR(IF('1. Raw Data'!J124="",AVERAGE(IF('1. Raw Data'!J3:J402&lt;&gt;"",'1. Raw Data'!J3:J402)),VALUE('1. Raw Data'!J124)),0)</f>
        <v>10.81</v>
      </c>
      <c r="N124" s="34">
        <f>'1. Raw Data'!K124</f>
        <v>6</v>
      </c>
      <c r="O124" s="35">
        <f t="shared" si="7"/>
        <v>20880.798930533092</v>
      </c>
      <c r="P124" s="34">
        <f>'1. Raw Data'!L124</f>
        <v>30</v>
      </c>
      <c r="Q124" s="33" t="str">
        <f>TRIM('1. Raw Data'!M124)</f>
        <v>Premium</v>
      </c>
    </row>
    <row r="125" spans="1:17" ht="16.5" customHeight="1" x14ac:dyDescent="0.45">
      <c r="A125" s="25" t="str">
        <f>'1. Raw Data'!A125</f>
        <v>TXN-100123</v>
      </c>
      <c r="B125" s="26">
        <f>IFERROR(DATEVALUE('1. Raw Data'!B125),"")</f>
        <v>45480</v>
      </c>
      <c r="C125" s="27" t="str">
        <f t="shared" si="4"/>
        <v>Jul</v>
      </c>
      <c r="D125" s="27" t="str">
        <f t="shared" si="5"/>
        <v>Q3</v>
      </c>
      <c r="E125" s="28">
        <f t="shared" si="6"/>
        <v>2024</v>
      </c>
      <c r="F125" s="25" t="str">
        <f>PROPER(TRIM('1. Raw Data'!C125))</f>
        <v>Northpark</v>
      </c>
      <c r="G125" s="25" t="str">
        <f>TRIM('1. Raw Data'!D125)</f>
        <v>Personal Loan</v>
      </c>
      <c r="H125" s="25" t="str">
        <f>TRIM('1. Raw Data'!E125)</f>
        <v>Loans</v>
      </c>
      <c r="I125" s="25" t="str">
        <f>TRIM('1. Raw Data'!F125)</f>
        <v>Rachel Moore</v>
      </c>
      <c r="J125" s="27" t="str">
        <f>PROPER(TRIM('1. Raw Data'!G125))</f>
        <v>Active</v>
      </c>
      <c r="K125" s="27" t="str">
        <f>TRIM('1. Raw Data'!H125)</f>
        <v>Medium</v>
      </c>
      <c r="L125" s="29">
        <f>IFERROR(IF('1. Raw Data'!I125="",AVERAGE(IF('1. Raw Data'!I3:I402&lt;&gt;"",'1. Raw Data'!I3:I402)),VALUE('1. Raw Data'!I125)),0)</f>
        <v>29127.26</v>
      </c>
      <c r="M125" s="30">
        <f>IFERROR(IF('1. Raw Data'!J125="",AVERAGE(IF('1. Raw Data'!J3:J402&lt;&gt;"",'1. Raw Data'!J3:J402)),VALUE('1. Raw Data'!J125)),0)</f>
        <v>5.87</v>
      </c>
      <c r="N125" s="28">
        <f>'1. Raw Data'!K125</f>
        <v>240</v>
      </c>
      <c r="O125" s="29">
        <f t="shared" si="7"/>
        <v>206.49816143961007</v>
      </c>
      <c r="P125" s="28">
        <f>'1. Raw Data'!L125</f>
        <v>48</v>
      </c>
      <c r="Q125" s="27" t="str">
        <f>TRIM('1. Raw Data'!M125)</f>
        <v>Standard</v>
      </c>
    </row>
    <row r="126" spans="1:17" ht="16.5" customHeight="1" x14ac:dyDescent="0.45">
      <c r="A126" s="31" t="str">
        <f>'1. Raw Data'!A126</f>
        <v>TXN-100124</v>
      </c>
      <c r="B126" s="32">
        <f>IFERROR(DATEVALUE('1. Raw Data'!B126),"")</f>
        <v>45578</v>
      </c>
      <c r="C126" s="33" t="str">
        <f t="shared" si="4"/>
        <v>Oct</v>
      </c>
      <c r="D126" s="33" t="str">
        <f t="shared" si="5"/>
        <v>Q4</v>
      </c>
      <c r="E126" s="34">
        <f t="shared" si="6"/>
        <v>2024</v>
      </c>
      <c r="F126" s="31" t="str">
        <f>PROPER(TRIM('1. Raw Data'!C126))</f>
        <v>Downtown</v>
      </c>
      <c r="G126" s="31" t="str">
        <f>TRIM('1. Raw Data'!D126)</f>
        <v>Savings Account</v>
      </c>
      <c r="H126" s="31" t="str">
        <f>TRIM('1. Raw Data'!E126)</f>
        <v>Deposits</v>
      </c>
      <c r="I126" s="31" t="str">
        <f>TRIM('1. Raw Data'!F126)</f>
        <v>Maria Lopez</v>
      </c>
      <c r="J126" s="33" t="str">
        <f>PROPER(TRIM('1. Raw Data'!G126))</f>
        <v>Active</v>
      </c>
      <c r="K126" s="33" t="str">
        <f>TRIM('1. Raw Data'!H126)</f>
        <v>Low</v>
      </c>
      <c r="L126" s="35">
        <f>IFERROR(IF('1. Raw Data'!I126="",AVERAGE(IF('1. Raw Data'!I3:I402&lt;&gt;"",'1. Raw Data'!I3:I402)),VALUE('1. Raw Data'!I126)),0)</f>
        <v>151408.57</v>
      </c>
      <c r="M126" s="36">
        <f>IFERROR(IF('1. Raw Data'!J126="",AVERAGE(IF('1. Raw Data'!J3:J402&lt;&gt;"",'1. Raw Data'!J3:J402)),VALUE('1. Raw Data'!J126)),0)</f>
        <v>8.01</v>
      </c>
      <c r="N126" s="34">
        <f>'1. Raw Data'!K126</f>
        <v>240</v>
      </c>
      <c r="O126" s="35">
        <f t="shared" si="7"/>
        <v>1267.3844093889388</v>
      </c>
      <c r="P126" s="34">
        <f>'1. Raw Data'!L126</f>
        <v>48</v>
      </c>
      <c r="Q126" s="33" t="str">
        <f>TRIM('1. Raw Data'!M126)</f>
        <v>Premium</v>
      </c>
    </row>
    <row r="127" spans="1:17" ht="16.5" customHeight="1" x14ac:dyDescent="0.45">
      <c r="A127" s="25" t="str">
        <f>'1. Raw Data'!A127</f>
        <v>TXN-100125</v>
      </c>
      <c r="B127" s="26">
        <f>IFERROR(DATEVALUE('1. Raw Data'!B127),"")</f>
        <v>45444</v>
      </c>
      <c r="C127" s="27" t="str">
        <f t="shared" si="4"/>
        <v>Jun</v>
      </c>
      <c r="D127" s="27" t="str">
        <f t="shared" si="5"/>
        <v>Q2</v>
      </c>
      <c r="E127" s="28">
        <f t="shared" si="6"/>
        <v>2024</v>
      </c>
      <c r="F127" s="25" t="str">
        <f>PROPER(TRIM('1. Raw Data'!C127))</f>
        <v>Downtown</v>
      </c>
      <c r="G127" s="25" t="str">
        <f>TRIM('1. Raw Data'!D127)</f>
        <v>Savings Account</v>
      </c>
      <c r="H127" s="25" t="str">
        <f>TRIM('1. Raw Data'!E127)</f>
        <v>Deposits</v>
      </c>
      <c r="I127" s="25" t="str">
        <f>TRIM('1. Raw Data'!F127)</f>
        <v>James Patel</v>
      </c>
      <c r="J127" s="27" t="str">
        <f>PROPER(TRIM('1. Raw Data'!G127))</f>
        <v>Active</v>
      </c>
      <c r="K127" s="27" t="str">
        <f>TRIM('1. Raw Data'!H127)</f>
        <v>High</v>
      </c>
      <c r="L127" s="29">
        <f>IFERROR(IF('1. Raw Data'!I127="",AVERAGE(IF('1. Raw Data'!I3:I402&lt;&gt;"",'1. Raw Data'!I3:I402)),VALUE('1. Raw Data'!I127)),0)</f>
        <v>79603.13</v>
      </c>
      <c r="M127" s="30">
        <f>IFERROR(IF('1. Raw Data'!J127="",AVERAGE(IF('1. Raw Data'!J3:J402&lt;&gt;"",'1. Raw Data'!J3:J402)),VALUE('1. Raw Data'!J127)),0)</f>
        <v>11.33</v>
      </c>
      <c r="N127" s="28">
        <f>'1. Raw Data'!K127</f>
        <v>36</v>
      </c>
      <c r="O127" s="29">
        <f t="shared" si="7"/>
        <v>2618.5620126930653</v>
      </c>
      <c r="P127" s="28">
        <f>'1. Raw Data'!L127</f>
        <v>38</v>
      </c>
      <c r="Q127" s="27" t="str">
        <f>TRIM('1. Raw Data'!M127)</f>
        <v>Standard</v>
      </c>
    </row>
    <row r="128" spans="1:17" ht="16.5" customHeight="1" x14ac:dyDescent="0.45">
      <c r="A128" s="31" t="str">
        <f>'1. Raw Data'!A128</f>
        <v>TXN-100126</v>
      </c>
      <c r="B128" s="32">
        <f>IFERROR(DATEVALUE('1. Raw Data'!B128),"")</f>
        <v>45516</v>
      </c>
      <c r="C128" s="33" t="str">
        <f t="shared" si="4"/>
        <v>Aug</v>
      </c>
      <c r="D128" s="33" t="str">
        <f t="shared" si="5"/>
        <v>Q3</v>
      </c>
      <c r="E128" s="34">
        <f t="shared" si="6"/>
        <v>2024</v>
      </c>
      <c r="F128" s="31" t="str">
        <f>PROPER(TRIM('1. Raw Data'!C128))</f>
        <v>Uptown</v>
      </c>
      <c r="G128" s="31" t="str">
        <f>TRIM('1. Raw Data'!D128)</f>
        <v>Business Loan</v>
      </c>
      <c r="H128" s="31" t="str">
        <f>TRIM('1. Raw Data'!E128)</f>
        <v>Loans</v>
      </c>
      <c r="I128" s="31" t="str">
        <f>TRIM('1. Raw Data'!F128)</f>
        <v>Sarah Chen</v>
      </c>
      <c r="J128" s="33" t="str">
        <f>PROPER(TRIM('1. Raw Data'!G128))</f>
        <v>Inactive</v>
      </c>
      <c r="K128" s="33" t="str">
        <f>TRIM('1. Raw Data'!H128)</f>
        <v>Low</v>
      </c>
      <c r="L128" s="35">
        <f>IFERROR(IF('1. Raw Data'!I128="",AVERAGE(IF('1. Raw Data'!I3:I402&lt;&gt;"",'1. Raw Data'!I3:I402)),VALUE('1. Raw Data'!I128)),0)</f>
        <v>61316.75</v>
      </c>
      <c r="M128" s="36">
        <f>IFERROR(IF('1. Raw Data'!J128="",AVERAGE(IF('1. Raw Data'!J3:J402&lt;&gt;"",'1. Raw Data'!J3:J402)),VALUE('1. Raw Data'!J128)),0)</f>
        <v>7.47</v>
      </c>
      <c r="N128" s="34">
        <f>'1. Raw Data'!K128</f>
        <v>240</v>
      </c>
      <c r="O128" s="35">
        <f t="shared" si="7"/>
        <v>492.83938342445452</v>
      </c>
      <c r="P128" s="34">
        <f>'1. Raw Data'!L128</f>
        <v>48</v>
      </c>
      <c r="Q128" s="33" t="str">
        <f>TRIM('1. Raw Data'!M128)</f>
        <v>Standard</v>
      </c>
    </row>
    <row r="129" spans="1:17" ht="16.5" customHeight="1" x14ac:dyDescent="0.45">
      <c r="A129" s="25" t="str">
        <f>'1. Raw Data'!A129</f>
        <v>TXN-100127</v>
      </c>
      <c r="B129" s="26">
        <f>IFERROR(DATEVALUE('1. Raw Data'!B129),"")</f>
        <v>45341</v>
      </c>
      <c r="C129" s="27" t="str">
        <f t="shared" si="4"/>
        <v>Feb</v>
      </c>
      <c r="D129" s="27" t="str">
        <f t="shared" si="5"/>
        <v>Q1</v>
      </c>
      <c r="E129" s="28">
        <f t="shared" si="6"/>
        <v>2024</v>
      </c>
      <c r="F129" s="25" t="str">
        <f>PROPER(TRIM('1. Raw Data'!C129))</f>
        <v>Uptown</v>
      </c>
      <c r="G129" s="25" t="str">
        <f>TRIM('1. Raw Data'!D129)</f>
        <v>Checking Account</v>
      </c>
      <c r="H129" s="25" t="str">
        <f>TRIM('1. Raw Data'!E129)</f>
        <v>Deposits</v>
      </c>
      <c r="I129" s="25" t="str">
        <f>TRIM('1. Raw Data'!F129)</f>
        <v>Maria Lopez</v>
      </c>
      <c r="J129" s="27" t="str">
        <f>PROPER(TRIM('1. Raw Data'!G129))</f>
        <v>Active</v>
      </c>
      <c r="K129" s="27" t="str">
        <f>TRIM('1. Raw Data'!H129)</f>
        <v>Medium</v>
      </c>
      <c r="L129" s="29">
        <f>IFERROR(IF('1. Raw Data'!I129="",AVERAGE(IF('1. Raw Data'!I3:I402&lt;&gt;"",'1. Raw Data'!I3:I402)),VALUE('1. Raw Data'!I129)),0)</f>
        <v>60685.13</v>
      </c>
      <c r="M129" s="30">
        <f>IFERROR(IF('1. Raw Data'!J129="",AVERAGE(IF('1. Raw Data'!J3:J402&lt;&gt;"",'1. Raw Data'!J3:J402)),VALUE('1. Raw Data'!J129)),0)</f>
        <v>5.52</v>
      </c>
      <c r="N129" s="28">
        <f>'1. Raw Data'!K129</f>
        <v>6</v>
      </c>
      <c r="O129" s="29">
        <f t="shared" si="7"/>
        <v>10277.649540096476</v>
      </c>
      <c r="P129" s="28">
        <f>'1. Raw Data'!L129</f>
        <v>57</v>
      </c>
      <c r="Q129" s="27" t="str">
        <f>TRIM('1. Raw Data'!M129)</f>
        <v>Standard</v>
      </c>
    </row>
    <row r="130" spans="1:17" ht="16.5" customHeight="1" x14ac:dyDescent="0.45">
      <c r="A130" s="31" t="str">
        <f>'1. Raw Data'!A130</f>
        <v>TXN-100128</v>
      </c>
      <c r="B130" s="32">
        <f>IFERROR(DATEVALUE('1. Raw Data'!B130),"")</f>
        <v>45355</v>
      </c>
      <c r="C130" s="33" t="str">
        <f t="shared" si="4"/>
        <v>Mar</v>
      </c>
      <c r="D130" s="33" t="str">
        <f t="shared" si="5"/>
        <v>Q1</v>
      </c>
      <c r="E130" s="34">
        <f t="shared" si="6"/>
        <v>2024</v>
      </c>
      <c r="F130" s="31" t="str">
        <f>PROPER(TRIM('1. Raw Data'!C130))</f>
        <v>Downtown</v>
      </c>
      <c r="G130" s="31" t="str">
        <f>TRIM('1. Raw Data'!D130)</f>
        <v>Fixed Deposit</v>
      </c>
      <c r="H130" s="31" t="str">
        <f>TRIM('1. Raw Data'!E130)</f>
        <v>Deposits</v>
      </c>
      <c r="I130" s="31" t="str">
        <f>TRIM('1. Raw Data'!F130)</f>
        <v>James Patel</v>
      </c>
      <c r="J130" s="33" t="str">
        <f>PROPER(TRIM('1. Raw Data'!G130))</f>
        <v>Active</v>
      </c>
      <c r="K130" s="33" t="str">
        <f>TRIM('1. Raw Data'!H130)</f>
        <v>Medium</v>
      </c>
      <c r="L130" s="35">
        <f>IFERROR(IF('1. Raw Data'!I130="",AVERAGE(IF('1. Raw Data'!I3:I402&lt;&gt;"",'1. Raw Data'!I3:I402)),VALUE('1. Raw Data'!I130)),0)</f>
        <v>57594.71</v>
      </c>
      <c r="M130" s="36">
        <f>IFERROR(IF('1. Raw Data'!J130="",AVERAGE(IF('1. Raw Data'!J3:J402&lt;&gt;"",'1. Raw Data'!J3:J402)),VALUE('1. Raw Data'!J130)),0)</f>
        <v>11.11</v>
      </c>
      <c r="N130" s="34">
        <f>'1. Raw Data'!K130</f>
        <v>180</v>
      </c>
      <c r="O130" s="35">
        <f t="shared" si="7"/>
        <v>658.60346653822614</v>
      </c>
      <c r="P130" s="34">
        <f>'1. Raw Data'!L130</f>
        <v>26</v>
      </c>
      <c r="Q130" s="33" t="str">
        <f>TRIM('1. Raw Data'!M130)</f>
        <v>Standard</v>
      </c>
    </row>
    <row r="131" spans="1:17" ht="16.5" customHeight="1" x14ac:dyDescent="0.45">
      <c r="A131" s="25" t="str">
        <f>'1. Raw Data'!A131</f>
        <v>TXN-100129</v>
      </c>
      <c r="B131" s="26">
        <f>IFERROR(DATEVALUE('1. Raw Data'!B131),"")</f>
        <v>45641</v>
      </c>
      <c r="C131" s="27" t="str">
        <f t="shared" ref="C131:C194" si="8">IFERROR(TEXT(B131,"mmm"),"")</f>
        <v>Dec</v>
      </c>
      <c r="D131" s="27" t="str">
        <f t="shared" ref="D131:D194" si="9">IFERROR("Q"&amp;INT((MONTH(B131)-1)/3+1),"")</f>
        <v>Q4</v>
      </c>
      <c r="E131" s="28">
        <f t="shared" ref="E131:E194" si="10">IFERROR(YEAR(B131),"")</f>
        <v>2024</v>
      </c>
      <c r="F131" s="25" t="str">
        <f>PROPER(TRIM('1. Raw Data'!C131))</f>
        <v>Downtown</v>
      </c>
      <c r="G131" s="25" t="str">
        <f>TRIM('1. Raw Data'!D131)</f>
        <v>Personal Loan</v>
      </c>
      <c r="H131" s="25" t="str">
        <f>TRIM('1. Raw Data'!E131)</f>
        <v>Loans</v>
      </c>
      <c r="I131" s="25" t="str">
        <f>TRIM('1. Raw Data'!F131)</f>
        <v>Maria Lopez</v>
      </c>
      <c r="J131" s="27" t="str">
        <f>PROPER(TRIM('1. Raw Data'!G131))</f>
        <v>Active</v>
      </c>
      <c r="K131" s="27" t="str">
        <f>TRIM('1. Raw Data'!H131)</f>
        <v>Low</v>
      </c>
      <c r="L131" s="29">
        <f>IFERROR(IF('1. Raw Data'!I131="",AVERAGE(IF('1. Raw Data'!I3:I402&lt;&gt;"",'1. Raw Data'!I3:I402)),VALUE('1. Raw Data'!I131)),0)</f>
        <v>112005.75999999999</v>
      </c>
      <c r="M131" s="30">
        <f>IFERROR(IF('1. Raw Data'!J131="",AVERAGE(IF('1. Raw Data'!J3:J402&lt;&gt;"",'1. Raw Data'!J3:J402)),VALUE('1. Raw Data'!J131)),0)</f>
        <v>5.17</v>
      </c>
      <c r="N131" s="28">
        <f>'1. Raw Data'!K131</f>
        <v>120</v>
      </c>
      <c r="O131" s="29">
        <f t="shared" ref="O131:O194" si="11">IFERROR(IF(M131=0,0,(L131*(M131/100/12))/(1-(1+M131/100/12)^(-N131))),0)</f>
        <v>1197.3237407347976</v>
      </c>
      <c r="P131" s="28">
        <f>'1. Raw Data'!L131</f>
        <v>37</v>
      </c>
      <c r="Q131" s="27" t="str">
        <f>TRIM('1. Raw Data'!M131)</f>
        <v>Premium</v>
      </c>
    </row>
    <row r="132" spans="1:17" ht="16.5" customHeight="1" x14ac:dyDescent="0.45">
      <c r="A132" s="31" t="str">
        <f>'1. Raw Data'!A132</f>
        <v>TXN-100130</v>
      </c>
      <c r="B132" s="32">
        <f>IFERROR(DATEVALUE('1. Raw Data'!B132),"")</f>
        <v>45362</v>
      </c>
      <c r="C132" s="33" t="str">
        <f t="shared" si="8"/>
        <v>Mar</v>
      </c>
      <c r="D132" s="33" t="str">
        <f t="shared" si="9"/>
        <v>Q1</v>
      </c>
      <c r="E132" s="34">
        <f t="shared" si="10"/>
        <v>2024</v>
      </c>
      <c r="F132" s="31" t="str">
        <f>PROPER(TRIM('1. Raw Data'!C132))</f>
        <v>Uptown</v>
      </c>
      <c r="G132" s="31" t="str">
        <f>TRIM('1. Raw Data'!D132)</f>
        <v>Savings Account</v>
      </c>
      <c r="H132" s="31" t="str">
        <f>TRIM('1. Raw Data'!E132)</f>
        <v>Deposits</v>
      </c>
      <c r="I132" s="31" t="str">
        <f>TRIM('1. Raw Data'!F132)</f>
        <v>Sarah Chen</v>
      </c>
      <c r="J132" s="33" t="str">
        <f>PROPER(TRIM('1. Raw Data'!G132))</f>
        <v>Inactive</v>
      </c>
      <c r="K132" s="33" t="str">
        <f>TRIM('1. Raw Data'!H132)</f>
        <v>High</v>
      </c>
      <c r="L132" s="35">
        <f>IFERROR(IF('1. Raw Data'!I132="",AVERAGE(IF('1. Raw Data'!I3:I402&lt;&gt;"",'1. Raw Data'!I3:I402)),VALUE('1. Raw Data'!I132)),0)</f>
        <v>175607.82</v>
      </c>
      <c r="M132" s="36">
        <f>IFERROR(IF('1. Raw Data'!J132="",AVERAGE(IF('1. Raw Data'!J3:J402&lt;&gt;"",'1. Raw Data'!J3:J402)),VALUE('1. Raw Data'!J132)),0)</f>
        <v>0</v>
      </c>
      <c r="N132" s="34">
        <f>'1. Raw Data'!K132</f>
        <v>60</v>
      </c>
      <c r="O132" s="35">
        <f t="shared" si="11"/>
        <v>0</v>
      </c>
      <c r="P132" s="34">
        <f>'1. Raw Data'!L132</f>
        <v>25</v>
      </c>
      <c r="Q132" s="33" t="str">
        <f>TRIM('1. Raw Data'!M132)</f>
        <v>Premium</v>
      </c>
    </row>
    <row r="133" spans="1:17" ht="16.5" customHeight="1" x14ac:dyDescent="0.45">
      <c r="A133" s="25" t="str">
        <f>'1. Raw Data'!A133</f>
        <v>TXN-100131</v>
      </c>
      <c r="B133" s="26">
        <f>IFERROR(DATEVALUE('1. Raw Data'!B133),"")</f>
        <v>45365</v>
      </c>
      <c r="C133" s="27" t="str">
        <f t="shared" si="8"/>
        <v>Mar</v>
      </c>
      <c r="D133" s="27" t="str">
        <f t="shared" si="9"/>
        <v>Q1</v>
      </c>
      <c r="E133" s="28">
        <f t="shared" si="10"/>
        <v>2024</v>
      </c>
      <c r="F133" s="25" t="str">
        <f>PROPER(TRIM('1. Raw Data'!C133))</f>
        <v>Westside</v>
      </c>
      <c r="G133" s="25" t="str">
        <f>TRIM('1. Raw Data'!D133)</f>
        <v>Fixed Deposit</v>
      </c>
      <c r="H133" s="25" t="str">
        <f>TRIM('1. Raw Data'!E133)</f>
        <v>Deposits</v>
      </c>
      <c r="I133" s="25" t="str">
        <f>TRIM('1. Raw Data'!F133)</f>
        <v>Rachel Moore</v>
      </c>
      <c r="J133" s="27" t="str">
        <f>PROPER(TRIM('1. Raw Data'!G133))</f>
        <v>Inactive</v>
      </c>
      <c r="K133" s="27" t="str">
        <f>TRIM('1. Raw Data'!H133)</f>
        <v>Medium</v>
      </c>
      <c r="L133" s="29">
        <f>IFERROR(IF('1. Raw Data'!I133="",AVERAGE(IF('1. Raw Data'!I3:I402&lt;&gt;"",'1. Raw Data'!I3:I402)),VALUE('1. Raw Data'!I133)),0)</f>
        <v>163562.26</v>
      </c>
      <c r="M133" s="30">
        <f>IFERROR(IF('1. Raw Data'!J133="",AVERAGE(IF('1. Raw Data'!J3:J402&lt;&gt;"",'1. Raw Data'!J3:J402)),VALUE('1. Raw Data'!J133)),0)</f>
        <v>7.91</v>
      </c>
      <c r="N133" s="28">
        <f>'1. Raw Data'!K133</f>
        <v>360</v>
      </c>
      <c r="O133" s="29">
        <f t="shared" si="11"/>
        <v>1189.9158264999974</v>
      </c>
      <c r="P133" s="28">
        <f>'1. Raw Data'!L133</f>
        <v>34</v>
      </c>
      <c r="Q133" s="27" t="str">
        <f>TRIM('1. Raw Data'!M133)</f>
        <v>Premium</v>
      </c>
    </row>
    <row r="134" spans="1:17" ht="16.5" customHeight="1" x14ac:dyDescent="0.45">
      <c r="A134" s="31" t="str">
        <f>'1. Raw Data'!A134</f>
        <v>TXN-100132</v>
      </c>
      <c r="B134" s="32">
        <f>IFERROR(DATEVALUE('1. Raw Data'!B134),"")</f>
        <v>45532</v>
      </c>
      <c r="C134" s="33" t="str">
        <f t="shared" si="8"/>
        <v>Aug</v>
      </c>
      <c r="D134" s="33" t="str">
        <f t="shared" si="9"/>
        <v>Q3</v>
      </c>
      <c r="E134" s="34">
        <f t="shared" si="10"/>
        <v>2024</v>
      </c>
      <c r="F134" s="31" t="str">
        <f>PROPER(TRIM('1. Raw Data'!C134))</f>
        <v>Downtown</v>
      </c>
      <c r="G134" s="31" t="str">
        <f>TRIM('1. Raw Data'!D134)</f>
        <v>Savings Account</v>
      </c>
      <c r="H134" s="31" t="str">
        <f>TRIM('1. Raw Data'!E134)</f>
        <v>Deposits</v>
      </c>
      <c r="I134" s="31" t="str">
        <f>TRIM('1. Raw Data'!F134)</f>
        <v>James Patel</v>
      </c>
      <c r="J134" s="33" t="str">
        <f>PROPER(TRIM('1. Raw Data'!G134))</f>
        <v>Pending</v>
      </c>
      <c r="K134" s="33" t="str">
        <f>TRIM('1. Raw Data'!H134)</f>
        <v>Medium</v>
      </c>
      <c r="L134" s="35">
        <f>IFERROR(IF('1. Raw Data'!I134="",AVERAGE(IF('1. Raw Data'!I3:I402&lt;&gt;"",'1. Raw Data'!I3:I402)),VALUE('1. Raw Data'!I134)),0)</f>
        <v>182489.66</v>
      </c>
      <c r="M134" s="36">
        <f>IFERROR(IF('1. Raw Data'!J134="",AVERAGE(IF('1. Raw Data'!J3:J402&lt;&gt;"",'1. Raw Data'!J3:J402)),VALUE('1. Raw Data'!J134)),0)</f>
        <v>9.11</v>
      </c>
      <c r="N134" s="34">
        <f>'1. Raw Data'!K134</f>
        <v>360</v>
      </c>
      <c r="O134" s="35">
        <f t="shared" si="11"/>
        <v>1482.8198020858108</v>
      </c>
      <c r="P134" s="34">
        <f>'1. Raw Data'!L134</f>
        <v>63</v>
      </c>
      <c r="Q134" s="33" t="str">
        <f>TRIM('1. Raw Data'!M134)</f>
        <v>Premium</v>
      </c>
    </row>
    <row r="135" spans="1:17" ht="16.5" customHeight="1" x14ac:dyDescent="0.45">
      <c r="A135" s="25" t="str">
        <f>'1. Raw Data'!A135</f>
        <v>TXN-100133</v>
      </c>
      <c r="B135" s="26">
        <f>IFERROR(DATEVALUE('1. Raw Data'!B135),"")</f>
        <v>45488</v>
      </c>
      <c r="C135" s="27" t="str">
        <f t="shared" si="8"/>
        <v>Jul</v>
      </c>
      <c r="D135" s="27" t="str">
        <f t="shared" si="9"/>
        <v>Q3</v>
      </c>
      <c r="E135" s="28">
        <f t="shared" si="10"/>
        <v>2024</v>
      </c>
      <c r="F135" s="25" t="str">
        <f>PROPER(TRIM('1. Raw Data'!C135))</f>
        <v>Downtown</v>
      </c>
      <c r="G135" s="25" t="str">
        <f>TRIM('1. Raw Data'!D135)</f>
        <v>Credit Card</v>
      </c>
      <c r="H135" s="25" t="str">
        <f>TRIM('1. Raw Data'!E135)</f>
        <v>Cards</v>
      </c>
      <c r="I135" s="25" t="str">
        <f>TRIM('1. Raw Data'!F135)</f>
        <v>Maria Lopez</v>
      </c>
      <c r="J135" s="27" t="str">
        <f>PROPER(TRIM('1. Raw Data'!G135))</f>
        <v>Inactive</v>
      </c>
      <c r="K135" s="27" t="str">
        <f>TRIM('1. Raw Data'!H135)</f>
        <v>Low</v>
      </c>
      <c r="L135" s="29">
        <f>IFERROR(IF('1. Raw Data'!I135="",AVERAGE(IF('1. Raw Data'!I3:I402&lt;&gt;"",'1. Raw Data'!I3:I402)),VALUE('1. Raw Data'!I135)),0)</f>
        <v>52847.73</v>
      </c>
      <c r="M135" s="30">
        <f>IFERROR(IF('1. Raw Data'!J135="",AVERAGE(IF('1. Raw Data'!J3:J402&lt;&gt;"",'1. Raw Data'!J3:J402)),VALUE('1. Raw Data'!J135)),0)</f>
        <v>7.34</v>
      </c>
      <c r="N135" s="28">
        <f>'1. Raw Data'!K135</f>
        <v>6</v>
      </c>
      <c r="O135" s="29">
        <f t="shared" si="11"/>
        <v>8997.4768378236222</v>
      </c>
      <c r="P135" s="28">
        <f>'1. Raw Data'!L135</f>
        <v>33</v>
      </c>
      <c r="Q135" s="27" t="str">
        <f>TRIM('1. Raw Data'!M135)</f>
        <v>Standard</v>
      </c>
    </row>
    <row r="136" spans="1:17" ht="16.5" customHeight="1" x14ac:dyDescent="0.45">
      <c r="A136" s="31" t="str">
        <f>'1. Raw Data'!A136</f>
        <v>TXN-100134</v>
      </c>
      <c r="B136" s="32">
        <f>IFERROR(DATEVALUE('1. Raw Data'!B136),"")</f>
        <v>45333</v>
      </c>
      <c r="C136" s="33" t="str">
        <f t="shared" si="8"/>
        <v>Feb</v>
      </c>
      <c r="D136" s="33" t="str">
        <f t="shared" si="9"/>
        <v>Q1</v>
      </c>
      <c r="E136" s="34">
        <f t="shared" si="10"/>
        <v>2024</v>
      </c>
      <c r="F136" s="31" t="str">
        <f>PROPER(TRIM('1. Raw Data'!C136))</f>
        <v>Uptown</v>
      </c>
      <c r="G136" s="31" t="str">
        <f>TRIM('1. Raw Data'!D136)</f>
        <v>Mortgage</v>
      </c>
      <c r="H136" s="31" t="str">
        <f>TRIM('1. Raw Data'!E136)</f>
        <v>Loans</v>
      </c>
      <c r="I136" s="31" t="str">
        <f>TRIM('1. Raw Data'!F136)</f>
        <v>David Kim</v>
      </c>
      <c r="J136" s="33" t="str">
        <f>PROPER(TRIM('1. Raw Data'!G136))</f>
        <v>Inactive</v>
      </c>
      <c r="K136" s="33" t="str">
        <f>TRIM('1. Raw Data'!H136)</f>
        <v>Medium</v>
      </c>
      <c r="L136" s="35">
        <f>IFERROR(IF('1. Raw Data'!I136="",AVERAGE(IF('1. Raw Data'!I3:I402&lt;&gt;"",'1. Raw Data'!I3:I402)),VALUE('1. Raw Data'!I136)),0)</f>
        <v>109087.66</v>
      </c>
      <c r="M136" s="36">
        <f>IFERROR(IF('1. Raw Data'!J136="",AVERAGE(IF('1. Raw Data'!J3:J402&lt;&gt;"",'1. Raw Data'!J3:J402)),VALUE('1. Raw Data'!J136)),0)</f>
        <v>12.78</v>
      </c>
      <c r="N136" s="34">
        <f>'1. Raw Data'!K136</f>
        <v>180</v>
      </c>
      <c r="O136" s="35">
        <f t="shared" si="11"/>
        <v>1364.4693847169515</v>
      </c>
      <c r="P136" s="34">
        <f>'1. Raw Data'!L136</f>
        <v>75</v>
      </c>
      <c r="Q136" s="33" t="str">
        <f>TRIM('1. Raw Data'!M136)</f>
        <v>Premium</v>
      </c>
    </row>
    <row r="137" spans="1:17" ht="16.5" customHeight="1" x14ac:dyDescent="0.45">
      <c r="A137" s="25" t="str">
        <f>'1. Raw Data'!A137</f>
        <v>TXN-100135</v>
      </c>
      <c r="B137" s="26">
        <f>IFERROR(DATEVALUE('1. Raw Data'!B137),"")</f>
        <v>45470</v>
      </c>
      <c r="C137" s="27" t="str">
        <f t="shared" si="8"/>
        <v>Jun</v>
      </c>
      <c r="D137" s="27" t="str">
        <f t="shared" si="9"/>
        <v>Q2</v>
      </c>
      <c r="E137" s="28">
        <f t="shared" si="10"/>
        <v>2024</v>
      </c>
      <c r="F137" s="25" t="str">
        <f>PROPER(TRIM('1. Raw Data'!C137))</f>
        <v>Downtown</v>
      </c>
      <c r="G137" s="25" t="str">
        <f>TRIM('1. Raw Data'!D137)</f>
        <v>Personal Loan</v>
      </c>
      <c r="H137" s="25" t="str">
        <f>TRIM('1. Raw Data'!E137)</f>
        <v>Loans</v>
      </c>
      <c r="I137" s="25" t="str">
        <f>TRIM('1. Raw Data'!F137)</f>
        <v>Sarah Chen</v>
      </c>
      <c r="J137" s="27" t="str">
        <f>PROPER(TRIM('1. Raw Data'!G137))</f>
        <v>Inactive</v>
      </c>
      <c r="K137" s="27" t="str">
        <f>TRIM('1. Raw Data'!H137)</f>
        <v>High</v>
      </c>
      <c r="L137" s="29">
        <f>IFERROR(IF('1. Raw Data'!I137="",AVERAGE(IF('1. Raw Data'!I3:I402&lt;&gt;"",'1. Raw Data'!I3:I402)),VALUE('1. Raw Data'!I137)),0)</f>
        <v>214799.34</v>
      </c>
      <c r="M137" s="30">
        <f>IFERROR(IF('1. Raw Data'!J137="",AVERAGE(IF('1. Raw Data'!J3:J402&lt;&gt;"",'1. Raw Data'!J3:J402)),VALUE('1. Raw Data'!J137)),0)</f>
        <v>5.25</v>
      </c>
      <c r="N137" s="28">
        <f>'1. Raw Data'!K137</f>
        <v>12</v>
      </c>
      <c r="O137" s="29">
        <f t="shared" si="11"/>
        <v>18413.048435343768</v>
      </c>
      <c r="P137" s="28">
        <f>'1. Raw Data'!L137</f>
        <v>73</v>
      </c>
      <c r="Q137" s="27" t="str">
        <f>TRIM('1. Raw Data'!M137)</f>
        <v>Premium</v>
      </c>
    </row>
    <row r="138" spans="1:17" ht="16.5" customHeight="1" x14ac:dyDescent="0.45">
      <c r="A138" s="31" t="str">
        <f>'1. Raw Data'!A138</f>
        <v>TXN-100136</v>
      </c>
      <c r="B138" s="32">
        <f>IFERROR(DATEVALUE('1. Raw Data'!B138),"")</f>
        <v>45337</v>
      </c>
      <c r="C138" s="33" t="str">
        <f t="shared" si="8"/>
        <v>Feb</v>
      </c>
      <c r="D138" s="33" t="str">
        <f t="shared" si="9"/>
        <v>Q1</v>
      </c>
      <c r="E138" s="34">
        <f t="shared" si="10"/>
        <v>2024</v>
      </c>
      <c r="F138" s="31" t="str">
        <f>PROPER(TRIM('1. Raw Data'!C138))</f>
        <v>Uptown</v>
      </c>
      <c r="G138" s="31" t="str">
        <f>TRIM('1. Raw Data'!D138)</f>
        <v>Credit Card</v>
      </c>
      <c r="H138" s="31" t="str">
        <f>TRIM('1. Raw Data'!E138)</f>
        <v>Cards</v>
      </c>
      <c r="I138" s="31" t="str">
        <f>TRIM('1. Raw Data'!F138)</f>
        <v>Rachel Moore</v>
      </c>
      <c r="J138" s="33" t="str">
        <f>PROPER(TRIM('1. Raw Data'!G138))</f>
        <v>Active</v>
      </c>
      <c r="K138" s="33" t="str">
        <f>TRIM('1. Raw Data'!H138)</f>
        <v>Medium</v>
      </c>
      <c r="L138" s="35">
        <f>IFERROR(IF('1. Raw Data'!I138="",AVERAGE(IF('1. Raw Data'!I3:I402&lt;&gt;"",'1. Raw Data'!I3:I402)),VALUE('1. Raw Data'!I138)),0)</f>
        <v>145495.17000000001</v>
      </c>
      <c r="M138" s="36">
        <f>IFERROR(IF('1. Raw Data'!J138="",AVERAGE(IF('1. Raw Data'!J3:J402&lt;&gt;"",'1. Raw Data'!J3:J402)),VALUE('1. Raw Data'!J138)),0)</f>
        <v>12.18</v>
      </c>
      <c r="N138" s="34">
        <f>'1. Raw Data'!K138</f>
        <v>48</v>
      </c>
      <c r="O138" s="35">
        <f t="shared" si="11"/>
        <v>3844.3170939928036</v>
      </c>
      <c r="P138" s="34">
        <f>'1. Raw Data'!L138</f>
        <v>35</v>
      </c>
      <c r="Q138" s="33" t="str">
        <f>TRIM('1. Raw Data'!M138)</f>
        <v>Premium</v>
      </c>
    </row>
    <row r="139" spans="1:17" ht="16.5" customHeight="1" x14ac:dyDescent="0.45">
      <c r="A139" s="25" t="str">
        <f>'1. Raw Data'!A139</f>
        <v>TXN-100137</v>
      </c>
      <c r="B139" s="26">
        <f>IFERROR(DATEVALUE('1. Raw Data'!B139),"")</f>
        <v>45384</v>
      </c>
      <c r="C139" s="27" t="str">
        <f t="shared" si="8"/>
        <v>Apr</v>
      </c>
      <c r="D139" s="27" t="str">
        <f t="shared" si="9"/>
        <v>Q2</v>
      </c>
      <c r="E139" s="28">
        <f t="shared" si="10"/>
        <v>2024</v>
      </c>
      <c r="F139" s="25" t="str">
        <f>PROPER(TRIM('1. Raw Data'!C139))</f>
        <v>Downtown</v>
      </c>
      <c r="G139" s="25" t="str">
        <f>TRIM('1. Raw Data'!D139)</f>
        <v>Auto Loan</v>
      </c>
      <c r="H139" s="25" t="str">
        <f>TRIM('1. Raw Data'!E139)</f>
        <v>Loans</v>
      </c>
      <c r="I139" s="25" t="str">
        <f>TRIM('1. Raw Data'!F139)</f>
        <v>David Kim</v>
      </c>
      <c r="J139" s="27" t="str">
        <f>PROPER(TRIM('1. Raw Data'!G139))</f>
        <v>Active</v>
      </c>
      <c r="K139" s="27" t="str">
        <f>TRIM('1. Raw Data'!H139)</f>
        <v>Low</v>
      </c>
      <c r="L139" s="29">
        <f>IFERROR(IF('1. Raw Data'!I139="",AVERAGE(IF('1. Raw Data'!I3:I402&lt;&gt;"",'1. Raw Data'!I3:I402)),VALUE('1. Raw Data'!I139)),0)</f>
        <v>120497.77</v>
      </c>
      <c r="M139" s="30">
        <f>IFERROR(IF('1. Raw Data'!J139="",AVERAGE(IF('1. Raw Data'!J3:J402&lt;&gt;"",'1. Raw Data'!J3:J402)),VALUE('1. Raw Data'!J139)),0)</f>
        <v>8.44</v>
      </c>
      <c r="N139" s="28">
        <f>'1. Raw Data'!K139</f>
        <v>360</v>
      </c>
      <c r="O139" s="29">
        <f t="shared" si="11"/>
        <v>921.40461066979583</v>
      </c>
      <c r="P139" s="28">
        <f>'1. Raw Data'!L139</f>
        <v>65</v>
      </c>
      <c r="Q139" s="27" t="str">
        <f>TRIM('1. Raw Data'!M139)</f>
        <v>Premium</v>
      </c>
    </row>
    <row r="140" spans="1:17" ht="16.5" customHeight="1" x14ac:dyDescent="0.45">
      <c r="A140" s="31" t="str">
        <f>'1. Raw Data'!A140</f>
        <v>TXN-100138</v>
      </c>
      <c r="B140" s="32">
        <f>IFERROR(DATEVALUE('1. Raw Data'!B140),"")</f>
        <v>45435</v>
      </c>
      <c r="C140" s="33" t="str">
        <f t="shared" si="8"/>
        <v>May</v>
      </c>
      <c r="D140" s="33" t="str">
        <f t="shared" si="9"/>
        <v>Q2</v>
      </c>
      <c r="E140" s="34">
        <f t="shared" si="10"/>
        <v>2024</v>
      </c>
      <c r="F140" s="31" t="str">
        <f>PROPER(TRIM('1. Raw Data'!C140))</f>
        <v>Westside</v>
      </c>
      <c r="G140" s="31" t="str">
        <f>TRIM('1. Raw Data'!D140)</f>
        <v>Auto Loan</v>
      </c>
      <c r="H140" s="31" t="str">
        <f>TRIM('1. Raw Data'!E140)</f>
        <v>Loans</v>
      </c>
      <c r="I140" s="31" t="str">
        <f>TRIM('1. Raw Data'!F140)</f>
        <v>Rachel Moore</v>
      </c>
      <c r="J140" s="33" t="str">
        <f>PROPER(TRIM('1. Raw Data'!G140))</f>
        <v>Active</v>
      </c>
      <c r="K140" s="33" t="str">
        <f>TRIM('1. Raw Data'!H140)</f>
        <v>Low</v>
      </c>
      <c r="L140" s="35">
        <f>IFERROR(IF('1. Raw Data'!I140="",AVERAGE(IF('1. Raw Data'!I3:I402&lt;&gt;"",'1. Raw Data'!I3:I402)),VALUE('1. Raw Data'!I140)),0)</f>
        <v>43481.25</v>
      </c>
      <c r="M140" s="36">
        <f>IFERROR(IF('1. Raw Data'!J140="",AVERAGE(IF('1. Raw Data'!J3:J402&lt;&gt;"",'1. Raw Data'!J3:J402)),VALUE('1. Raw Data'!J140)),0)</f>
        <v>10.86</v>
      </c>
      <c r="N140" s="34">
        <f>'1. Raw Data'!K140</f>
        <v>12</v>
      </c>
      <c r="O140" s="35">
        <f t="shared" si="11"/>
        <v>3840.1061061838204</v>
      </c>
      <c r="P140" s="34">
        <f>'1. Raw Data'!L140</f>
        <v>38</v>
      </c>
      <c r="Q140" s="33" t="str">
        <f>TRIM('1. Raw Data'!M140)</f>
        <v>Standard</v>
      </c>
    </row>
    <row r="141" spans="1:17" ht="16.5" customHeight="1" x14ac:dyDescent="0.45">
      <c r="A141" s="25" t="str">
        <f>'1. Raw Data'!A141</f>
        <v>TXN-100139</v>
      </c>
      <c r="B141" s="26">
        <f>IFERROR(DATEVALUE('1. Raw Data'!B141),"")</f>
        <v>45470</v>
      </c>
      <c r="C141" s="27" t="str">
        <f t="shared" si="8"/>
        <v>Jun</v>
      </c>
      <c r="D141" s="27" t="str">
        <f t="shared" si="9"/>
        <v>Q2</v>
      </c>
      <c r="E141" s="28">
        <f t="shared" si="10"/>
        <v>2024</v>
      </c>
      <c r="F141" s="25" t="str">
        <f>PROPER(TRIM('1. Raw Data'!C141))</f>
        <v>Northpark</v>
      </c>
      <c r="G141" s="25" t="str">
        <f>TRIM('1. Raw Data'!D141)</f>
        <v>Checking Account</v>
      </c>
      <c r="H141" s="25" t="str">
        <f>TRIM('1. Raw Data'!E141)</f>
        <v>Deposits</v>
      </c>
      <c r="I141" s="25" t="str">
        <f>TRIM('1. Raw Data'!F141)</f>
        <v>Rachel Moore</v>
      </c>
      <c r="J141" s="27" t="str">
        <f>PROPER(TRIM('1. Raw Data'!G141))</f>
        <v>Active</v>
      </c>
      <c r="K141" s="27" t="str">
        <f>TRIM('1. Raw Data'!H141)</f>
        <v>Low</v>
      </c>
      <c r="L141" s="29">
        <f>IFERROR(IF('1. Raw Data'!I141="",AVERAGE(IF('1. Raw Data'!I3:I402&lt;&gt;"",'1. Raw Data'!I3:I402)),VALUE('1. Raw Data'!I141)),0)</f>
        <v>172162.58</v>
      </c>
      <c r="M141" s="30">
        <f>IFERROR(IF('1. Raw Data'!J141="",AVERAGE(IF('1. Raw Data'!J3:J402&lt;&gt;"",'1. Raw Data'!J3:J402)),VALUE('1. Raw Data'!J141)),0)</f>
        <v>10.199999999999999</v>
      </c>
      <c r="N141" s="28">
        <f>'1. Raw Data'!K141</f>
        <v>12</v>
      </c>
      <c r="O141" s="29">
        <f t="shared" si="11"/>
        <v>15151.844913994702</v>
      </c>
      <c r="P141" s="28">
        <f>'1. Raw Data'!L141</f>
        <v>48</v>
      </c>
      <c r="Q141" s="27" t="str">
        <f>TRIM('1. Raw Data'!M141)</f>
        <v>Premium</v>
      </c>
    </row>
    <row r="142" spans="1:17" ht="16.5" customHeight="1" x14ac:dyDescent="0.45">
      <c r="A142" s="31" t="str">
        <f>'1. Raw Data'!A142</f>
        <v>TXN-100140</v>
      </c>
      <c r="B142" s="32">
        <f>IFERROR(DATEVALUE('1. Raw Data'!B142),"")</f>
        <v>45508</v>
      </c>
      <c r="C142" s="33" t="str">
        <f t="shared" si="8"/>
        <v>Aug</v>
      </c>
      <c r="D142" s="33" t="str">
        <f t="shared" si="9"/>
        <v>Q3</v>
      </c>
      <c r="E142" s="34">
        <f t="shared" si="10"/>
        <v>2024</v>
      </c>
      <c r="F142" s="31" t="str">
        <f>PROPER(TRIM('1. Raw Data'!C142))</f>
        <v>Downtown</v>
      </c>
      <c r="G142" s="31" t="str">
        <f>TRIM('1. Raw Data'!D142)</f>
        <v>Credit Card</v>
      </c>
      <c r="H142" s="31" t="str">
        <f>TRIM('1. Raw Data'!E142)</f>
        <v>Cards</v>
      </c>
      <c r="I142" s="31" t="str">
        <f>TRIM('1. Raw Data'!F142)</f>
        <v>Sarah Chen</v>
      </c>
      <c r="J142" s="33" t="str">
        <f>PROPER(TRIM('1. Raw Data'!G142))</f>
        <v>Pending</v>
      </c>
      <c r="K142" s="33" t="str">
        <f>TRIM('1. Raw Data'!H142)</f>
        <v>Low</v>
      </c>
      <c r="L142" s="35">
        <f>IFERROR(IF('1. Raw Data'!I142="",AVERAGE(IF('1. Raw Data'!I3:I402&lt;&gt;"",'1. Raw Data'!I3:I402)),VALUE('1. Raw Data'!I142)),0)</f>
        <v>204617.24</v>
      </c>
      <c r="M142" s="36">
        <f>IFERROR(IF('1. Raw Data'!J142="",AVERAGE(IF('1. Raw Data'!J3:J402&lt;&gt;"",'1. Raw Data'!J3:J402)),VALUE('1. Raw Data'!J142)),0)</f>
        <v>8.09</v>
      </c>
      <c r="N142" s="34">
        <f>'1. Raw Data'!K142</f>
        <v>36</v>
      </c>
      <c r="O142" s="35">
        <f t="shared" si="11"/>
        <v>6420.4594657091138</v>
      </c>
      <c r="P142" s="34">
        <f>'1. Raw Data'!L142</f>
        <v>74</v>
      </c>
      <c r="Q142" s="33" t="str">
        <f>TRIM('1. Raw Data'!M142)</f>
        <v>Premium</v>
      </c>
    </row>
    <row r="143" spans="1:17" ht="16.5" customHeight="1" x14ac:dyDescent="0.45">
      <c r="A143" s="25" t="str">
        <f>'1. Raw Data'!A143</f>
        <v>TXN-100141</v>
      </c>
      <c r="B143" s="26">
        <f>IFERROR(DATEVALUE('1. Raw Data'!B143),"")</f>
        <v>45654</v>
      </c>
      <c r="C143" s="27" t="str">
        <f t="shared" si="8"/>
        <v>Dec</v>
      </c>
      <c r="D143" s="27" t="str">
        <f t="shared" si="9"/>
        <v>Q4</v>
      </c>
      <c r="E143" s="28">
        <f t="shared" si="10"/>
        <v>2024</v>
      </c>
      <c r="F143" s="25" t="str">
        <f>PROPER(TRIM('1. Raw Data'!C143))</f>
        <v>Downtown</v>
      </c>
      <c r="G143" s="25" t="str">
        <f>TRIM('1. Raw Data'!D143)</f>
        <v>Credit Card</v>
      </c>
      <c r="H143" s="25" t="str">
        <f>TRIM('1. Raw Data'!E143)</f>
        <v>Cards</v>
      </c>
      <c r="I143" s="25" t="str">
        <f>TRIM('1. Raw Data'!F143)</f>
        <v>Rachel Moore</v>
      </c>
      <c r="J143" s="27" t="str">
        <f>PROPER(TRIM('1. Raw Data'!G143))</f>
        <v>Active</v>
      </c>
      <c r="K143" s="27" t="str">
        <f>TRIM('1. Raw Data'!H143)</f>
        <v>Low</v>
      </c>
      <c r="L143" s="29">
        <f>IFERROR(IF('1. Raw Data'!I143="",AVERAGE(IF('1. Raw Data'!I3:I402&lt;&gt;"",'1. Raw Data'!I3:I402)),VALUE('1. Raw Data'!I143)),0)</f>
        <v>159061.09</v>
      </c>
      <c r="M143" s="30">
        <f>IFERROR(IF('1. Raw Data'!J143="",AVERAGE(IF('1. Raw Data'!J3:J402&lt;&gt;"",'1. Raw Data'!J3:J402)),VALUE('1. Raw Data'!J143)),0)</f>
        <v>13.62</v>
      </c>
      <c r="N143" s="28">
        <f>'1. Raw Data'!K143</f>
        <v>360</v>
      </c>
      <c r="O143" s="29">
        <f t="shared" si="11"/>
        <v>1836.9342160097985</v>
      </c>
      <c r="P143" s="28">
        <f>'1. Raw Data'!L143</f>
        <v>52</v>
      </c>
      <c r="Q143" s="27" t="str">
        <f>TRIM('1. Raw Data'!M143)</f>
        <v>Premium</v>
      </c>
    </row>
    <row r="144" spans="1:17" ht="16.5" customHeight="1" x14ac:dyDescent="0.45">
      <c r="A144" s="31" t="str">
        <f>'1. Raw Data'!A144</f>
        <v>TXN-100142</v>
      </c>
      <c r="B144" s="32">
        <f>IFERROR(DATEVALUE('1. Raw Data'!B144),"")</f>
        <v>45457</v>
      </c>
      <c r="C144" s="33" t="str">
        <f t="shared" si="8"/>
        <v>Jun</v>
      </c>
      <c r="D144" s="33" t="str">
        <f t="shared" si="9"/>
        <v>Q2</v>
      </c>
      <c r="E144" s="34">
        <f t="shared" si="10"/>
        <v>2024</v>
      </c>
      <c r="F144" s="31" t="str">
        <f>PROPER(TRIM('1. Raw Data'!C144))</f>
        <v>Northpark</v>
      </c>
      <c r="G144" s="31" t="str">
        <f>TRIM('1. Raw Data'!D144)</f>
        <v>Auto Loan</v>
      </c>
      <c r="H144" s="31" t="str">
        <f>TRIM('1. Raw Data'!E144)</f>
        <v>Loans</v>
      </c>
      <c r="I144" s="31" t="str">
        <f>TRIM('1. Raw Data'!F144)</f>
        <v>Rachel Moore</v>
      </c>
      <c r="J144" s="33" t="str">
        <f>PROPER(TRIM('1. Raw Data'!G144))</f>
        <v>Active</v>
      </c>
      <c r="K144" s="33" t="str">
        <f>TRIM('1. Raw Data'!H144)</f>
        <v>Low</v>
      </c>
      <c r="L144" s="35">
        <f>IFERROR(IF('1. Raw Data'!I144="",AVERAGE(IF('1. Raw Data'!I3:I402&lt;&gt;"",'1. Raw Data'!I3:I402)),VALUE('1. Raw Data'!I144)),0)</f>
        <v>108280.01</v>
      </c>
      <c r="M144" s="36">
        <f>IFERROR(IF('1. Raw Data'!J144="",AVERAGE(IF('1. Raw Data'!J3:J402&lt;&gt;"",'1. Raw Data'!J3:J402)),VALUE('1. Raw Data'!J144)),0)</f>
        <v>10.71</v>
      </c>
      <c r="N144" s="34">
        <f>'1. Raw Data'!K144</f>
        <v>36</v>
      </c>
      <c r="O144" s="35">
        <f t="shared" si="11"/>
        <v>3530.09665872302</v>
      </c>
      <c r="P144" s="34">
        <f>'1. Raw Data'!L144</f>
        <v>29</v>
      </c>
      <c r="Q144" s="33" t="str">
        <f>TRIM('1. Raw Data'!M144)</f>
        <v>Premium</v>
      </c>
    </row>
    <row r="145" spans="1:17" ht="16.5" customHeight="1" x14ac:dyDescent="0.45">
      <c r="A145" s="25" t="str">
        <f>'1. Raw Data'!A145</f>
        <v>TXN-100143</v>
      </c>
      <c r="B145" s="26">
        <f>IFERROR(DATEVALUE('1. Raw Data'!B145),"")</f>
        <v>45615</v>
      </c>
      <c r="C145" s="27" t="str">
        <f t="shared" si="8"/>
        <v>Nov</v>
      </c>
      <c r="D145" s="27" t="str">
        <f t="shared" si="9"/>
        <v>Q4</v>
      </c>
      <c r="E145" s="28">
        <f t="shared" si="10"/>
        <v>2024</v>
      </c>
      <c r="F145" s="25" t="str">
        <f>PROPER(TRIM('1. Raw Data'!C145))</f>
        <v>Uptown</v>
      </c>
      <c r="G145" s="25" t="str">
        <f>TRIM('1. Raw Data'!D145)</f>
        <v>Auto Loan</v>
      </c>
      <c r="H145" s="25" t="str">
        <f>TRIM('1. Raw Data'!E145)</f>
        <v>Loans</v>
      </c>
      <c r="I145" s="25" t="str">
        <f>TRIM('1. Raw Data'!F145)</f>
        <v>Rachel Moore</v>
      </c>
      <c r="J145" s="27" t="str">
        <f>PROPER(TRIM('1. Raw Data'!G145))</f>
        <v>Active</v>
      </c>
      <c r="K145" s="27" t="str">
        <f>TRIM('1. Raw Data'!H145)</f>
        <v>Medium</v>
      </c>
      <c r="L145" s="29">
        <f>IFERROR(IF('1. Raw Data'!I145="",AVERAGE(IF('1. Raw Data'!I3:I402&lt;&gt;"",'1. Raw Data'!I3:I402)),VALUE('1. Raw Data'!I145)),0)</f>
        <v>148705.71</v>
      </c>
      <c r="M145" s="30">
        <f>IFERROR(IF('1. Raw Data'!J145="",AVERAGE(IF('1. Raw Data'!J3:J402&lt;&gt;"",'1. Raw Data'!J3:J402)),VALUE('1. Raw Data'!J145)),0)</f>
        <v>12.74</v>
      </c>
      <c r="N145" s="28">
        <f>'1. Raw Data'!K145</f>
        <v>24</v>
      </c>
      <c r="O145" s="29">
        <f t="shared" si="11"/>
        <v>7051.5936165016492</v>
      </c>
      <c r="P145" s="28">
        <f>'1. Raw Data'!L145</f>
        <v>36</v>
      </c>
      <c r="Q145" s="27" t="str">
        <f>TRIM('1. Raw Data'!M145)</f>
        <v>Premium</v>
      </c>
    </row>
    <row r="146" spans="1:17" ht="16.5" customHeight="1" x14ac:dyDescent="0.45">
      <c r="A146" s="31" t="str">
        <f>'1. Raw Data'!A146</f>
        <v>TXN-100144</v>
      </c>
      <c r="B146" s="32">
        <f>IFERROR(DATEVALUE('1. Raw Data'!B146),"")</f>
        <v>45429</v>
      </c>
      <c r="C146" s="33" t="str">
        <f t="shared" si="8"/>
        <v>May</v>
      </c>
      <c r="D146" s="33" t="str">
        <f t="shared" si="9"/>
        <v>Q2</v>
      </c>
      <c r="E146" s="34">
        <f t="shared" si="10"/>
        <v>2024</v>
      </c>
      <c r="F146" s="31" t="str">
        <f>PROPER(TRIM('1. Raw Data'!C146))</f>
        <v>Northpark</v>
      </c>
      <c r="G146" s="31" t="str">
        <f>TRIM('1. Raw Data'!D146)</f>
        <v>Savings Account</v>
      </c>
      <c r="H146" s="31" t="str">
        <f>TRIM('1. Raw Data'!E146)</f>
        <v>Deposits</v>
      </c>
      <c r="I146" s="31" t="str">
        <f>TRIM('1. Raw Data'!F146)</f>
        <v>James Patel</v>
      </c>
      <c r="J146" s="33" t="str">
        <f>PROPER(TRIM('1. Raw Data'!G146))</f>
        <v>Active</v>
      </c>
      <c r="K146" s="33" t="str">
        <f>TRIM('1. Raw Data'!H146)</f>
        <v>Medium</v>
      </c>
      <c r="L146" s="35">
        <f>IFERROR(IF('1. Raw Data'!I146="",AVERAGE(IF('1. Raw Data'!I3:I402&lt;&gt;"",'1. Raw Data'!I3:I402)),VALUE('1. Raw Data'!I146)),0)</f>
        <v>201616.04</v>
      </c>
      <c r="M146" s="36">
        <f>IFERROR(IF('1. Raw Data'!J146="",AVERAGE(IF('1. Raw Data'!J3:J402&lt;&gt;"",'1. Raw Data'!J3:J402)),VALUE('1. Raw Data'!J146)),0)</f>
        <v>5.78</v>
      </c>
      <c r="N146" s="34">
        <f>'1. Raw Data'!K146</f>
        <v>48</v>
      </c>
      <c r="O146" s="35">
        <f t="shared" si="11"/>
        <v>4714.6492481509113</v>
      </c>
      <c r="P146" s="34">
        <f>'1. Raw Data'!L146</f>
        <v>48</v>
      </c>
      <c r="Q146" s="33" t="str">
        <f>TRIM('1. Raw Data'!M146)</f>
        <v>Premium</v>
      </c>
    </row>
    <row r="147" spans="1:17" ht="16.5" customHeight="1" x14ac:dyDescent="0.45">
      <c r="A147" s="25" t="str">
        <f>'1. Raw Data'!A147</f>
        <v>TXN-100145</v>
      </c>
      <c r="B147" s="26">
        <f>IFERROR(DATEVALUE('1. Raw Data'!B147),"")</f>
        <v>45640</v>
      </c>
      <c r="C147" s="27" t="str">
        <f t="shared" si="8"/>
        <v>Dec</v>
      </c>
      <c r="D147" s="27" t="str">
        <f t="shared" si="9"/>
        <v>Q4</v>
      </c>
      <c r="E147" s="28">
        <f t="shared" si="10"/>
        <v>2024</v>
      </c>
      <c r="F147" s="25" t="str">
        <f>PROPER(TRIM('1. Raw Data'!C147))</f>
        <v>Uptown</v>
      </c>
      <c r="G147" s="25" t="str">
        <f>TRIM('1. Raw Data'!D147)</f>
        <v>Mortgage</v>
      </c>
      <c r="H147" s="25" t="str">
        <f>TRIM('1. Raw Data'!E147)</f>
        <v>Loans</v>
      </c>
      <c r="I147" s="25" t="str">
        <f>TRIM('1. Raw Data'!F147)</f>
        <v>Maria Lopez</v>
      </c>
      <c r="J147" s="27" t="str">
        <f>PROPER(TRIM('1. Raw Data'!G147))</f>
        <v>Pending</v>
      </c>
      <c r="K147" s="27" t="str">
        <f>TRIM('1. Raw Data'!H147)</f>
        <v>High</v>
      </c>
      <c r="L147" s="29">
        <f>IFERROR(IF('1. Raw Data'!I147="",AVERAGE(IF('1. Raw Data'!I3:I402&lt;&gt;"",'1. Raw Data'!I3:I402)),VALUE('1. Raw Data'!I147)),0)</f>
        <v>12565.96</v>
      </c>
      <c r="M147" s="30">
        <f>IFERROR(IF('1. Raw Data'!J147="",AVERAGE(IF('1. Raw Data'!J3:J402&lt;&gt;"",'1. Raw Data'!J3:J402)),VALUE('1. Raw Data'!J147)),0)</f>
        <v>5.63</v>
      </c>
      <c r="N147" s="28">
        <f>'1. Raw Data'!K147</f>
        <v>180</v>
      </c>
      <c r="O147" s="29">
        <f t="shared" si="11"/>
        <v>103.54329237736705</v>
      </c>
      <c r="P147" s="28">
        <f>'1. Raw Data'!L147</f>
        <v>22</v>
      </c>
      <c r="Q147" s="27" t="str">
        <f>TRIM('1. Raw Data'!M147)</f>
        <v>Basic</v>
      </c>
    </row>
    <row r="148" spans="1:17" ht="16.5" customHeight="1" x14ac:dyDescent="0.45">
      <c r="A148" s="31" t="str">
        <f>'1. Raw Data'!A148</f>
        <v>TXN-100146</v>
      </c>
      <c r="B148" s="32">
        <f>IFERROR(DATEVALUE('1. Raw Data'!B148),"")</f>
        <v>45440</v>
      </c>
      <c r="C148" s="33" t="str">
        <f t="shared" si="8"/>
        <v>May</v>
      </c>
      <c r="D148" s="33" t="str">
        <f t="shared" si="9"/>
        <v>Q2</v>
      </c>
      <c r="E148" s="34">
        <f t="shared" si="10"/>
        <v>2024</v>
      </c>
      <c r="F148" s="31" t="str">
        <f>PROPER(TRIM('1. Raw Data'!C148))</f>
        <v>Eastgate</v>
      </c>
      <c r="G148" s="31" t="str">
        <f>TRIM('1. Raw Data'!D148)</f>
        <v>Credit Card</v>
      </c>
      <c r="H148" s="31" t="str">
        <f>TRIM('1. Raw Data'!E148)</f>
        <v>Cards</v>
      </c>
      <c r="I148" s="31" t="str">
        <f>TRIM('1. Raw Data'!F148)</f>
        <v>Maria Lopez</v>
      </c>
      <c r="J148" s="33" t="str">
        <f>PROPER(TRIM('1. Raw Data'!G148))</f>
        <v>Active</v>
      </c>
      <c r="K148" s="33" t="str">
        <f>TRIM('1. Raw Data'!H148)</f>
        <v>Medium</v>
      </c>
      <c r="L148" s="35">
        <f>IFERROR(IF('1. Raw Data'!I148="",AVERAGE(IF('1. Raw Data'!I3:I402&lt;&gt;"",'1. Raw Data'!I3:I402)),VALUE('1. Raw Data'!I148)),0)</f>
        <v>233831.79</v>
      </c>
      <c r="M148" s="36">
        <f>IFERROR(IF('1. Raw Data'!J148="",AVERAGE(IF('1. Raw Data'!J3:J402&lt;&gt;"",'1. Raw Data'!J3:J402)),VALUE('1. Raw Data'!J148)),0)</f>
        <v>6.61</v>
      </c>
      <c r="N148" s="34">
        <f>'1. Raw Data'!K148</f>
        <v>24</v>
      </c>
      <c r="O148" s="35">
        <f t="shared" si="11"/>
        <v>10427.958915457868</v>
      </c>
      <c r="P148" s="34">
        <f>'1. Raw Data'!L148</f>
        <v>34</v>
      </c>
      <c r="Q148" s="33" t="str">
        <f>TRIM('1. Raw Data'!M148)</f>
        <v>Premium</v>
      </c>
    </row>
    <row r="149" spans="1:17" ht="16.5" customHeight="1" x14ac:dyDescent="0.45">
      <c r="A149" s="25" t="str">
        <f>'1. Raw Data'!A149</f>
        <v>TXN-100147</v>
      </c>
      <c r="B149" s="26">
        <f>IFERROR(DATEVALUE('1. Raw Data'!B149),"")</f>
        <v>45532</v>
      </c>
      <c r="C149" s="27" t="str">
        <f t="shared" si="8"/>
        <v>Aug</v>
      </c>
      <c r="D149" s="27" t="str">
        <f t="shared" si="9"/>
        <v>Q3</v>
      </c>
      <c r="E149" s="28">
        <f t="shared" si="10"/>
        <v>2024</v>
      </c>
      <c r="F149" s="25" t="str">
        <f>PROPER(TRIM('1. Raw Data'!C149))</f>
        <v>Eastgate</v>
      </c>
      <c r="G149" s="25" t="str">
        <f>TRIM('1. Raw Data'!D149)</f>
        <v>Fixed Deposit</v>
      </c>
      <c r="H149" s="25" t="str">
        <f>TRIM('1. Raw Data'!E149)</f>
        <v>Deposits</v>
      </c>
      <c r="I149" s="25" t="str">
        <f>TRIM('1. Raw Data'!F149)</f>
        <v>Rachel Moore</v>
      </c>
      <c r="J149" s="27" t="str">
        <f>PROPER(TRIM('1. Raw Data'!G149))</f>
        <v>Active</v>
      </c>
      <c r="K149" s="27" t="str">
        <f>TRIM('1. Raw Data'!H149)</f>
        <v>Low</v>
      </c>
      <c r="L149" s="29">
        <f>IFERROR(IF('1. Raw Data'!I149="",AVERAGE(IF('1. Raw Data'!I3:I402&lt;&gt;"",'1. Raw Data'!I3:I402)),VALUE('1. Raw Data'!I149)),0)</f>
        <v>29717.4</v>
      </c>
      <c r="M149" s="30">
        <f>IFERROR(IF('1. Raw Data'!J149="",AVERAGE(IF('1. Raw Data'!J3:J402&lt;&gt;"",'1. Raw Data'!J3:J402)),VALUE('1. Raw Data'!J149)),0)</f>
        <v>4.49</v>
      </c>
      <c r="N149" s="28">
        <f>'1. Raw Data'!K149</f>
        <v>180</v>
      </c>
      <c r="O149" s="29">
        <f t="shared" si="11"/>
        <v>227.18426697765622</v>
      </c>
      <c r="P149" s="28">
        <f>'1. Raw Data'!L149</f>
        <v>40</v>
      </c>
      <c r="Q149" s="27" t="str">
        <f>TRIM('1. Raw Data'!M149)</f>
        <v>Standard</v>
      </c>
    </row>
    <row r="150" spans="1:17" ht="16.5" customHeight="1" x14ac:dyDescent="0.45">
      <c r="A150" s="31" t="str">
        <f>'1. Raw Data'!A150</f>
        <v>TXN-100148</v>
      </c>
      <c r="B150" s="32">
        <f>IFERROR(DATEVALUE('1. Raw Data'!B150),"")</f>
        <v>45341</v>
      </c>
      <c r="C150" s="33" t="str">
        <f t="shared" si="8"/>
        <v>Feb</v>
      </c>
      <c r="D150" s="33" t="str">
        <f t="shared" si="9"/>
        <v>Q1</v>
      </c>
      <c r="E150" s="34">
        <f t="shared" si="10"/>
        <v>2024</v>
      </c>
      <c r="F150" s="31" t="str">
        <f>PROPER(TRIM('1. Raw Data'!C150))</f>
        <v>Eastgate</v>
      </c>
      <c r="G150" s="31" t="str">
        <f>TRIM('1. Raw Data'!D150)</f>
        <v>Fixed Deposit</v>
      </c>
      <c r="H150" s="31" t="str">
        <f>TRIM('1. Raw Data'!E150)</f>
        <v>Deposits</v>
      </c>
      <c r="I150" s="31" t="str">
        <f>TRIM('1. Raw Data'!F150)</f>
        <v>Rachel Moore</v>
      </c>
      <c r="J150" s="33" t="str">
        <f>PROPER(TRIM('1. Raw Data'!G150))</f>
        <v>Active</v>
      </c>
      <c r="K150" s="33" t="str">
        <f>TRIM('1. Raw Data'!H150)</f>
        <v>Medium</v>
      </c>
      <c r="L150" s="35">
        <f>IFERROR(IF('1. Raw Data'!I150="",AVERAGE(IF('1. Raw Data'!I3:I402&lt;&gt;"",'1. Raw Data'!I3:I402)),VALUE('1. Raw Data'!I150)),0)</f>
        <v>44150.52</v>
      </c>
      <c r="M150" s="36">
        <f>IFERROR(IF('1. Raw Data'!J150="",AVERAGE(IF('1. Raw Data'!J3:J402&lt;&gt;"",'1. Raw Data'!J3:J402)),VALUE('1. Raw Data'!J150)),0)</f>
        <v>3.3</v>
      </c>
      <c r="N150" s="34">
        <f>'1. Raw Data'!K150</f>
        <v>240</v>
      </c>
      <c r="O150" s="35">
        <f t="shared" si="11"/>
        <v>251.54110870149719</v>
      </c>
      <c r="P150" s="34">
        <f>'1. Raw Data'!L150</f>
        <v>70</v>
      </c>
      <c r="Q150" s="33" t="str">
        <f>TRIM('1. Raw Data'!M150)</f>
        <v>Standard</v>
      </c>
    </row>
    <row r="151" spans="1:17" ht="16.5" customHeight="1" x14ac:dyDescent="0.45">
      <c r="A151" s="25" t="str">
        <f>'1. Raw Data'!A151</f>
        <v>TXN-100149</v>
      </c>
      <c r="B151" s="26">
        <f>IFERROR(DATEVALUE('1. Raw Data'!B151),"")</f>
        <v>45454</v>
      </c>
      <c r="C151" s="27" t="str">
        <f t="shared" si="8"/>
        <v>Jun</v>
      </c>
      <c r="D151" s="27" t="str">
        <f t="shared" si="9"/>
        <v>Q2</v>
      </c>
      <c r="E151" s="28">
        <f t="shared" si="10"/>
        <v>2024</v>
      </c>
      <c r="F151" s="25" t="str">
        <f>PROPER(TRIM('1. Raw Data'!C151))</f>
        <v>Uptown</v>
      </c>
      <c r="G151" s="25" t="str">
        <f>TRIM('1. Raw Data'!D151)</f>
        <v>Personal Loan</v>
      </c>
      <c r="H151" s="25" t="str">
        <f>TRIM('1. Raw Data'!E151)</f>
        <v>Loans</v>
      </c>
      <c r="I151" s="25" t="str">
        <f>TRIM('1. Raw Data'!F151)</f>
        <v>David Kim</v>
      </c>
      <c r="J151" s="27" t="str">
        <f>PROPER(TRIM('1. Raw Data'!G151))</f>
        <v>Active</v>
      </c>
      <c r="K151" s="27" t="str">
        <f>TRIM('1. Raw Data'!H151)</f>
        <v>High</v>
      </c>
      <c r="L151" s="29">
        <f>IFERROR(IF('1. Raw Data'!I151="",AVERAGE(IF('1. Raw Data'!I3:I402&lt;&gt;"",'1. Raw Data'!I3:I402)),VALUE('1. Raw Data'!I151)),0)</f>
        <v>111035.02</v>
      </c>
      <c r="M151" s="30">
        <f>IFERROR(IF('1. Raw Data'!J151="",AVERAGE(IF('1. Raw Data'!J3:J402&lt;&gt;"",'1. Raw Data'!J3:J402)),VALUE('1. Raw Data'!J151)),0)</f>
        <v>9.07</v>
      </c>
      <c r="N151" s="28">
        <f>'1. Raw Data'!K151</f>
        <v>240</v>
      </c>
      <c r="O151" s="29">
        <f t="shared" si="11"/>
        <v>1004.0151042051542</v>
      </c>
      <c r="P151" s="28">
        <f>'1. Raw Data'!L151</f>
        <v>33</v>
      </c>
      <c r="Q151" s="27" t="str">
        <f>TRIM('1. Raw Data'!M151)</f>
        <v>Premium</v>
      </c>
    </row>
    <row r="152" spans="1:17" ht="16.5" customHeight="1" x14ac:dyDescent="0.45">
      <c r="A152" s="31" t="str">
        <f>'1. Raw Data'!A152</f>
        <v>TXN-100150</v>
      </c>
      <c r="B152" s="32">
        <f>IFERROR(DATEVALUE('1. Raw Data'!B152),"")</f>
        <v>45451</v>
      </c>
      <c r="C152" s="33" t="str">
        <f t="shared" si="8"/>
        <v>Jun</v>
      </c>
      <c r="D152" s="33" t="str">
        <f t="shared" si="9"/>
        <v>Q2</v>
      </c>
      <c r="E152" s="34">
        <f t="shared" si="10"/>
        <v>2024</v>
      </c>
      <c r="F152" s="31" t="str">
        <f>PROPER(TRIM('1. Raw Data'!C152))</f>
        <v>Westside</v>
      </c>
      <c r="G152" s="31" t="str">
        <f>TRIM('1. Raw Data'!D152)</f>
        <v>Credit Card</v>
      </c>
      <c r="H152" s="31" t="str">
        <f>TRIM('1. Raw Data'!E152)</f>
        <v>Cards</v>
      </c>
      <c r="I152" s="31" t="str">
        <f>TRIM('1. Raw Data'!F152)</f>
        <v>James Patel</v>
      </c>
      <c r="J152" s="33" t="str">
        <f>PROPER(TRIM('1. Raw Data'!G152))</f>
        <v>Active</v>
      </c>
      <c r="K152" s="33" t="str">
        <f>TRIM('1. Raw Data'!H152)</f>
        <v>Medium</v>
      </c>
      <c r="L152" s="35">
        <f>IFERROR(IF('1. Raw Data'!I152="",AVERAGE(IF('1. Raw Data'!I3:I402&lt;&gt;"",'1. Raw Data'!I3:I402)),VALUE('1. Raw Data'!I152)),0)</f>
        <v>15672.05</v>
      </c>
      <c r="M152" s="36">
        <f>IFERROR(IF('1. Raw Data'!J152="",AVERAGE(IF('1. Raw Data'!J3:J402&lt;&gt;"",'1. Raw Data'!J3:J402)),VALUE('1. Raw Data'!J152)),0)</f>
        <v>6.12</v>
      </c>
      <c r="N152" s="34">
        <f>'1. Raw Data'!K152</f>
        <v>6</v>
      </c>
      <c r="O152" s="35">
        <f t="shared" si="11"/>
        <v>2658.8303288314828</v>
      </c>
      <c r="P152" s="34">
        <f>'1. Raw Data'!L152</f>
        <v>40</v>
      </c>
      <c r="Q152" s="33" t="str">
        <f>TRIM('1. Raw Data'!M152)</f>
        <v>Basic</v>
      </c>
    </row>
    <row r="153" spans="1:17" ht="16.5" customHeight="1" x14ac:dyDescent="0.45">
      <c r="A153" s="25" t="str">
        <f>'1. Raw Data'!A153</f>
        <v>TXN-100151</v>
      </c>
      <c r="B153" s="26">
        <f>IFERROR(DATEVALUE('1. Raw Data'!B153),"")</f>
        <v>45486</v>
      </c>
      <c r="C153" s="27" t="str">
        <f t="shared" si="8"/>
        <v>Jul</v>
      </c>
      <c r="D153" s="27" t="str">
        <f t="shared" si="9"/>
        <v>Q3</v>
      </c>
      <c r="E153" s="28">
        <f t="shared" si="10"/>
        <v>2024</v>
      </c>
      <c r="F153" s="25" t="str">
        <f>PROPER(TRIM('1. Raw Data'!C153))</f>
        <v>Eastgate</v>
      </c>
      <c r="G153" s="25" t="str">
        <f>TRIM('1. Raw Data'!D153)</f>
        <v>Personal Loan</v>
      </c>
      <c r="H153" s="25" t="str">
        <f>TRIM('1. Raw Data'!E153)</f>
        <v>Loans</v>
      </c>
      <c r="I153" s="25" t="str">
        <f>TRIM('1. Raw Data'!F153)</f>
        <v>Rachel Moore</v>
      </c>
      <c r="J153" s="27" t="str">
        <f>PROPER(TRIM('1. Raw Data'!G153))</f>
        <v>Active</v>
      </c>
      <c r="K153" s="27" t="str">
        <f>TRIM('1. Raw Data'!H153)</f>
        <v>Low</v>
      </c>
      <c r="L153" s="29">
        <f>IFERROR(IF('1. Raw Data'!I153="",AVERAGE(IF('1. Raw Data'!I3:I402&lt;&gt;"",'1. Raw Data'!I3:I402)),VALUE('1. Raw Data'!I153)),0)</f>
        <v>204183.95</v>
      </c>
      <c r="M153" s="30">
        <f>IFERROR(IF('1. Raw Data'!J153="",AVERAGE(IF('1. Raw Data'!J3:J402&lt;&gt;"",'1. Raw Data'!J3:J402)),VALUE('1. Raw Data'!J153)),0)</f>
        <v>4.59</v>
      </c>
      <c r="N153" s="28">
        <f>'1. Raw Data'!K153</f>
        <v>12</v>
      </c>
      <c r="O153" s="29">
        <f t="shared" si="11"/>
        <v>17441.333617998287</v>
      </c>
      <c r="P153" s="28">
        <f>'1. Raw Data'!L153</f>
        <v>53</v>
      </c>
      <c r="Q153" s="27" t="str">
        <f>TRIM('1. Raw Data'!M153)</f>
        <v>Premium</v>
      </c>
    </row>
    <row r="154" spans="1:17" ht="16.5" customHeight="1" x14ac:dyDescent="0.45">
      <c r="A154" s="31" t="str">
        <f>'1. Raw Data'!A154</f>
        <v>TXN-100152</v>
      </c>
      <c r="B154" s="32">
        <f>IFERROR(DATEVALUE('1. Raw Data'!B154),"")</f>
        <v>45386</v>
      </c>
      <c r="C154" s="33" t="str">
        <f t="shared" si="8"/>
        <v>Apr</v>
      </c>
      <c r="D154" s="33" t="str">
        <f t="shared" si="9"/>
        <v>Q2</v>
      </c>
      <c r="E154" s="34">
        <f t="shared" si="10"/>
        <v>2024</v>
      </c>
      <c r="F154" s="31" t="str">
        <f>PROPER(TRIM('1. Raw Data'!C154))</f>
        <v>Westside</v>
      </c>
      <c r="G154" s="31" t="str">
        <f>TRIM('1. Raw Data'!D154)</f>
        <v>Business Loan</v>
      </c>
      <c r="H154" s="31" t="str">
        <f>TRIM('1. Raw Data'!E154)</f>
        <v>Loans</v>
      </c>
      <c r="I154" s="31" t="str">
        <f>TRIM('1. Raw Data'!F154)</f>
        <v>David Kim</v>
      </c>
      <c r="J154" s="33" t="str">
        <f>PROPER(TRIM('1. Raw Data'!G154))</f>
        <v>Active</v>
      </c>
      <c r="K154" s="33" t="str">
        <f>TRIM('1. Raw Data'!H154)</f>
        <v>Medium</v>
      </c>
      <c r="L154" s="35">
        <f>IFERROR(IF('1. Raw Data'!I154="",AVERAGE(IF('1. Raw Data'!I3:I402&lt;&gt;"",'1. Raw Data'!I3:I402)),VALUE('1. Raw Data'!I154)),0)</f>
        <v>36923.15</v>
      </c>
      <c r="M154" s="36">
        <f>IFERROR(IF('1. Raw Data'!J154="",AVERAGE(IF('1. Raw Data'!J3:J402&lt;&gt;"",'1. Raw Data'!J3:J402)),VALUE('1. Raw Data'!J154)),0)</f>
        <v>11.16</v>
      </c>
      <c r="N154" s="34">
        <f>'1. Raw Data'!K154</f>
        <v>360</v>
      </c>
      <c r="O154" s="35">
        <f t="shared" si="11"/>
        <v>356.09900767386188</v>
      </c>
      <c r="P154" s="34">
        <f>'1. Raw Data'!L154</f>
        <v>73</v>
      </c>
      <c r="Q154" s="33" t="str">
        <f>TRIM('1. Raw Data'!M154)</f>
        <v>Standard</v>
      </c>
    </row>
    <row r="155" spans="1:17" ht="16.5" customHeight="1" x14ac:dyDescent="0.45">
      <c r="A155" s="25" t="str">
        <f>'1. Raw Data'!A155</f>
        <v>TXN-100153</v>
      </c>
      <c r="B155" s="26">
        <f>IFERROR(DATEVALUE('1. Raw Data'!B155),"")</f>
        <v>45519</v>
      </c>
      <c r="C155" s="27" t="str">
        <f t="shared" si="8"/>
        <v>Aug</v>
      </c>
      <c r="D155" s="27" t="str">
        <f t="shared" si="9"/>
        <v>Q3</v>
      </c>
      <c r="E155" s="28">
        <f t="shared" si="10"/>
        <v>2024</v>
      </c>
      <c r="F155" s="25" t="str">
        <f>PROPER(TRIM('1. Raw Data'!C155))</f>
        <v>Eastgate</v>
      </c>
      <c r="G155" s="25" t="str">
        <f>TRIM('1. Raw Data'!D155)</f>
        <v>Personal Loan</v>
      </c>
      <c r="H155" s="25" t="str">
        <f>TRIM('1. Raw Data'!E155)</f>
        <v>Loans</v>
      </c>
      <c r="I155" s="25" t="str">
        <f>TRIM('1. Raw Data'!F155)</f>
        <v>Maria Lopez</v>
      </c>
      <c r="J155" s="27" t="str">
        <f>PROPER(TRIM('1. Raw Data'!G155))</f>
        <v>Active</v>
      </c>
      <c r="K155" s="27" t="str">
        <f>TRIM('1. Raw Data'!H155)</f>
        <v>High</v>
      </c>
      <c r="L155" s="29">
        <f>IFERROR(IF('1. Raw Data'!I155="",AVERAGE(IF('1. Raw Data'!I3:I402&lt;&gt;"",'1. Raw Data'!I3:I402)),VALUE('1. Raw Data'!I155)),0)</f>
        <v>227542.42</v>
      </c>
      <c r="M155" s="30">
        <f>IFERROR(IF('1. Raw Data'!J155="",AVERAGE(IF('1. Raw Data'!J3:J402&lt;&gt;"",'1. Raw Data'!J3:J402)),VALUE('1. Raw Data'!J155)),0)</f>
        <v>2.91</v>
      </c>
      <c r="N155" s="28">
        <f>'1. Raw Data'!K155</f>
        <v>48</v>
      </c>
      <c r="O155" s="29">
        <f t="shared" si="11"/>
        <v>5027.4524470827537</v>
      </c>
      <c r="P155" s="28">
        <f>'1. Raw Data'!L155</f>
        <v>37</v>
      </c>
      <c r="Q155" s="27" t="str">
        <f>TRIM('1. Raw Data'!M155)</f>
        <v>Premium</v>
      </c>
    </row>
    <row r="156" spans="1:17" ht="16.5" customHeight="1" x14ac:dyDescent="0.45">
      <c r="A156" s="31" t="str">
        <f>'1. Raw Data'!A156</f>
        <v>TXN-100154</v>
      </c>
      <c r="B156" s="32">
        <f>IFERROR(DATEVALUE('1. Raw Data'!B156),"")</f>
        <v>45496</v>
      </c>
      <c r="C156" s="33" t="str">
        <f t="shared" si="8"/>
        <v>Jul</v>
      </c>
      <c r="D156" s="33" t="str">
        <f t="shared" si="9"/>
        <v>Q3</v>
      </c>
      <c r="E156" s="34">
        <f t="shared" si="10"/>
        <v>2024</v>
      </c>
      <c r="F156" s="31" t="str">
        <f>PROPER(TRIM('1. Raw Data'!C156))</f>
        <v>Uptown</v>
      </c>
      <c r="G156" s="31" t="str">
        <f>TRIM('1. Raw Data'!D156)</f>
        <v>Business Loan</v>
      </c>
      <c r="H156" s="31" t="str">
        <f>TRIM('1. Raw Data'!E156)</f>
        <v>Loans</v>
      </c>
      <c r="I156" s="31" t="str">
        <f>TRIM('1. Raw Data'!F156)</f>
        <v>Sarah Chen</v>
      </c>
      <c r="J156" s="33" t="str">
        <f>PROPER(TRIM('1. Raw Data'!G156))</f>
        <v>Active</v>
      </c>
      <c r="K156" s="33" t="str">
        <f>TRIM('1. Raw Data'!H156)</f>
        <v>Medium</v>
      </c>
      <c r="L156" s="35">
        <f>IFERROR(IF('1. Raw Data'!I156="",AVERAGE(IF('1. Raw Data'!I3:I402&lt;&gt;"",'1. Raw Data'!I3:I402)),VALUE('1. Raw Data'!I156)),0)</f>
        <v>217806.4</v>
      </c>
      <c r="M156" s="36">
        <f>IFERROR(IF('1. Raw Data'!J156="",AVERAGE(IF('1. Raw Data'!J3:J402&lt;&gt;"",'1. Raw Data'!J3:J402)),VALUE('1. Raw Data'!J156)),0)</f>
        <v>13.08</v>
      </c>
      <c r="N156" s="34">
        <f>'1. Raw Data'!K156</f>
        <v>48</v>
      </c>
      <c r="O156" s="35">
        <f t="shared" si="11"/>
        <v>5851.8522343045015</v>
      </c>
      <c r="P156" s="34">
        <f>'1. Raw Data'!L156</f>
        <v>62</v>
      </c>
      <c r="Q156" s="33" t="str">
        <f>TRIM('1. Raw Data'!M156)</f>
        <v>Premium</v>
      </c>
    </row>
    <row r="157" spans="1:17" ht="16.5" customHeight="1" x14ac:dyDescent="0.45">
      <c r="A157" s="25" t="str">
        <f>'1. Raw Data'!A157</f>
        <v>TXN-100155</v>
      </c>
      <c r="B157" s="26">
        <f>IFERROR(DATEVALUE('1. Raw Data'!B157),"")</f>
        <v>45646</v>
      </c>
      <c r="C157" s="27" t="str">
        <f t="shared" si="8"/>
        <v>Dec</v>
      </c>
      <c r="D157" s="27" t="str">
        <f t="shared" si="9"/>
        <v>Q4</v>
      </c>
      <c r="E157" s="28">
        <f t="shared" si="10"/>
        <v>2024</v>
      </c>
      <c r="F157" s="25" t="str">
        <f>PROPER(TRIM('1. Raw Data'!C157))</f>
        <v>Downtown</v>
      </c>
      <c r="G157" s="25" t="str">
        <f>TRIM('1. Raw Data'!D157)</f>
        <v>Mortgage</v>
      </c>
      <c r="H157" s="25" t="str">
        <f>TRIM('1. Raw Data'!E157)</f>
        <v>Loans</v>
      </c>
      <c r="I157" s="25" t="str">
        <f>TRIM('1. Raw Data'!F157)</f>
        <v>James Patel</v>
      </c>
      <c r="J157" s="27" t="str">
        <f>PROPER(TRIM('1. Raw Data'!G157))</f>
        <v>Active</v>
      </c>
      <c r="K157" s="27" t="str">
        <f>TRIM('1. Raw Data'!H157)</f>
        <v>Medium</v>
      </c>
      <c r="L157" s="29">
        <f>IFERROR(IF('1. Raw Data'!I157="",AVERAGE(IF('1. Raw Data'!I3:I402&lt;&gt;"",'1. Raw Data'!I3:I402)),VALUE('1. Raw Data'!I157)),0)</f>
        <v>82035.44</v>
      </c>
      <c r="M157" s="30">
        <f>IFERROR(IF('1. Raw Data'!J157="",AVERAGE(IF('1. Raw Data'!J3:J402&lt;&gt;"",'1. Raw Data'!J3:J402)),VALUE('1. Raw Data'!J157)),0)</f>
        <v>8.06</v>
      </c>
      <c r="N157" s="28">
        <f>'1. Raw Data'!K157</f>
        <v>48</v>
      </c>
      <c r="O157" s="29">
        <f t="shared" si="11"/>
        <v>2005.0360869049878</v>
      </c>
      <c r="P157" s="28">
        <f>'1. Raw Data'!L157</f>
        <v>42</v>
      </c>
      <c r="Q157" s="27" t="str">
        <f>TRIM('1. Raw Data'!M157)</f>
        <v>Standard</v>
      </c>
    </row>
    <row r="158" spans="1:17" ht="16.5" customHeight="1" x14ac:dyDescent="0.45">
      <c r="A158" s="31" t="str">
        <f>'1. Raw Data'!A158</f>
        <v>TXN-100156</v>
      </c>
      <c r="B158" s="32">
        <f>IFERROR(DATEVALUE('1. Raw Data'!B158),"")</f>
        <v>45344</v>
      </c>
      <c r="C158" s="33" t="str">
        <f t="shared" si="8"/>
        <v>Feb</v>
      </c>
      <c r="D158" s="33" t="str">
        <f t="shared" si="9"/>
        <v>Q1</v>
      </c>
      <c r="E158" s="34">
        <f t="shared" si="10"/>
        <v>2024</v>
      </c>
      <c r="F158" s="31" t="str">
        <f>PROPER(TRIM('1. Raw Data'!C158))</f>
        <v>Northpark</v>
      </c>
      <c r="G158" s="31" t="str">
        <f>TRIM('1. Raw Data'!D158)</f>
        <v>Personal Loan</v>
      </c>
      <c r="H158" s="31" t="str">
        <f>TRIM('1. Raw Data'!E158)</f>
        <v>Loans</v>
      </c>
      <c r="I158" s="31" t="str">
        <f>TRIM('1. Raw Data'!F158)</f>
        <v>Maria Lopez</v>
      </c>
      <c r="J158" s="33" t="str">
        <f>PROPER(TRIM('1. Raw Data'!G158))</f>
        <v>Active</v>
      </c>
      <c r="K158" s="33" t="str">
        <f>TRIM('1. Raw Data'!H158)</f>
        <v>Medium</v>
      </c>
      <c r="L158" s="35">
        <f>IFERROR(IF('1. Raw Data'!I158="",AVERAGE(IF('1. Raw Data'!I3:I402&lt;&gt;"",'1. Raw Data'!I3:I402)),VALUE('1. Raw Data'!I158)),0)</f>
        <v>122258.04</v>
      </c>
      <c r="M158" s="36">
        <f>IFERROR(IF('1. Raw Data'!J158="",AVERAGE(IF('1. Raw Data'!J3:J402&lt;&gt;"",'1. Raw Data'!J3:J402)),VALUE('1. Raw Data'!J158)),0)</f>
        <v>8.65</v>
      </c>
      <c r="N158" s="34">
        <f>'1. Raw Data'!K158</f>
        <v>12</v>
      </c>
      <c r="O158" s="35">
        <f t="shared" si="11"/>
        <v>10671.813225177162</v>
      </c>
      <c r="P158" s="34">
        <f>'1. Raw Data'!L158</f>
        <v>65</v>
      </c>
      <c r="Q158" s="33" t="str">
        <f>TRIM('1. Raw Data'!M158)</f>
        <v>Premium</v>
      </c>
    </row>
    <row r="159" spans="1:17" ht="16.5" customHeight="1" x14ac:dyDescent="0.45">
      <c r="A159" s="25" t="str">
        <f>'1. Raw Data'!A159</f>
        <v>TXN-100157</v>
      </c>
      <c r="B159" s="26">
        <f>IFERROR(DATEVALUE('1. Raw Data'!B159),"")</f>
        <v>45527</v>
      </c>
      <c r="C159" s="27" t="str">
        <f t="shared" si="8"/>
        <v>Aug</v>
      </c>
      <c r="D159" s="27" t="str">
        <f t="shared" si="9"/>
        <v>Q3</v>
      </c>
      <c r="E159" s="28">
        <f t="shared" si="10"/>
        <v>2024</v>
      </c>
      <c r="F159" s="25" t="str">
        <f>PROPER(TRIM('1. Raw Data'!C159))</f>
        <v>Westside</v>
      </c>
      <c r="G159" s="25" t="str">
        <f>TRIM('1. Raw Data'!D159)</f>
        <v>Mortgage</v>
      </c>
      <c r="H159" s="25" t="str">
        <f>TRIM('1. Raw Data'!E159)</f>
        <v>Loans</v>
      </c>
      <c r="I159" s="25" t="str">
        <f>TRIM('1. Raw Data'!F159)</f>
        <v>Rachel Moore</v>
      </c>
      <c r="J159" s="27" t="str">
        <f>PROPER(TRIM('1. Raw Data'!G159))</f>
        <v>Active</v>
      </c>
      <c r="K159" s="27" t="str">
        <f>TRIM('1. Raw Data'!H159)</f>
        <v>Low</v>
      </c>
      <c r="L159" s="29">
        <f>IFERROR(IF('1. Raw Data'!I159="",AVERAGE(IF('1. Raw Data'!I3:I402&lt;&gt;"",'1. Raw Data'!I3:I402)),VALUE('1. Raw Data'!I159)),0)</f>
        <v>0</v>
      </c>
      <c r="M159" s="30">
        <f>IFERROR(IF('1. Raw Data'!J159="",AVERAGE(IF('1. Raw Data'!J3:J402&lt;&gt;"",'1. Raw Data'!J3:J402)),VALUE('1. Raw Data'!J159)),0)</f>
        <v>10.96</v>
      </c>
      <c r="N159" s="28">
        <f>'1. Raw Data'!K159</f>
        <v>240</v>
      </c>
      <c r="O159" s="29">
        <f t="shared" si="11"/>
        <v>0</v>
      </c>
      <c r="P159" s="28">
        <f>'1. Raw Data'!L159</f>
        <v>37</v>
      </c>
      <c r="Q159" s="27" t="str">
        <f>TRIM('1. Raw Data'!M159)</f>
        <v>Standard</v>
      </c>
    </row>
    <row r="160" spans="1:17" ht="16.5" customHeight="1" x14ac:dyDescent="0.45">
      <c r="A160" s="31" t="str">
        <f>'1. Raw Data'!A160</f>
        <v>TXN-100158</v>
      </c>
      <c r="B160" s="32">
        <f>IFERROR(DATEVALUE('1. Raw Data'!B160),"")</f>
        <v>45325</v>
      </c>
      <c r="C160" s="33" t="str">
        <f t="shared" si="8"/>
        <v>Feb</v>
      </c>
      <c r="D160" s="33" t="str">
        <f t="shared" si="9"/>
        <v>Q1</v>
      </c>
      <c r="E160" s="34">
        <f t="shared" si="10"/>
        <v>2024</v>
      </c>
      <c r="F160" s="31" t="str">
        <f>PROPER(TRIM('1. Raw Data'!C160))</f>
        <v>Uptown</v>
      </c>
      <c r="G160" s="31" t="str">
        <f>TRIM('1. Raw Data'!D160)</f>
        <v>Business Loan</v>
      </c>
      <c r="H160" s="31" t="str">
        <f>TRIM('1. Raw Data'!E160)</f>
        <v>Loans</v>
      </c>
      <c r="I160" s="31" t="str">
        <f>TRIM('1. Raw Data'!F160)</f>
        <v>Rachel Moore</v>
      </c>
      <c r="J160" s="33" t="str">
        <f>PROPER(TRIM('1. Raw Data'!G160))</f>
        <v>Active</v>
      </c>
      <c r="K160" s="33" t="str">
        <f>TRIM('1. Raw Data'!H160)</f>
        <v>Low</v>
      </c>
      <c r="L160" s="35">
        <f>IFERROR(IF('1. Raw Data'!I160="",AVERAGE(IF('1. Raw Data'!I3:I402&lt;&gt;"",'1. Raw Data'!I3:I402)),VALUE('1. Raw Data'!I160)),0)</f>
        <v>26779.06</v>
      </c>
      <c r="M160" s="36">
        <f>IFERROR(IF('1. Raw Data'!J160="",AVERAGE(IF('1. Raw Data'!J3:J402&lt;&gt;"",'1. Raw Data'!J3:J402)),VALUE('1. Raw Data'!J160)),0)</f>
        <v>7.62</v>
      </c>
      <c r="N160" s="34">
        <f>'1. Raw Data'!K160</f>
        <v>360</v>
      </c>
      <c r="O160" s="35">
        <f t="shared" si="11"/>
        <v>189.44841148155948</v>
      </c>
      <c r="P160" s="34">
        <f>'1. Raw Data'!L160</f>
        <v>56</v>
      </c>
      <c r="Q160" s="33" t="str">
        <f>TRIM('1. Raw Data'!M160)</f>
        <v>Standard</v>
      </c>
    </row>
    <row r="161" spans="1:17" ht="16.5" customHeight="1" x14ac:dyDescent="0.45">
      <c r="A161" s="25" t="str">
        <f>'1. Raw Data'!A161</f>
        <v>TXN-100159</v>
      </c>
      <c r="B161" s="26">
        <f>IFERROR(DATEVALUE('1. Raw Data'!B161),"")</f>
        <v>45488</v>
      </c>
      <c r="C161" s="27" t="str">
        <f t="shared" si="8"/>
        <v>Jul</v>
      </c>
      <c r="D161" s="27" t="str">
        <f t="shared" si="9"/>
        <v>Q3</v>
      </c>
      <c r="E161" s="28">
        <f t="shared" si="10"/>
        <v>2024</v>
      </c>
      <c r="F161" s="25" t="str">
        <f>PROPER(TRIM('1. Raw Data'!C161))</f>
        <v>Westside</v>
      </c>
      <c r="G161" s="25" t="str">
        <f>TRIM('1. Raw Data'!D161)</f>
        <v>Business Loan</v>
      </c>
      <c r="H161" s="25" t="str">
        <f>TRIM('1. Raw Data'!E161)</f>
        <v>Loans</v>
      </c>
      <c r="I161" s="25" t="str">
        <f>TRIM('1. Raw Data'!F161)</f>
        <v>Rachel Moore</v>
      </c>
      <c r="J161" s="27" t="str">
        <f>PROPER(TRIM('1. Raw Data'!G161))</f>
        <v>Active</v>
      </c>
      <c r="K161" s="27" t="str">
        <f>TRIM('1. Raw Data'!H161)</f>
        <v>High</v>
      </c>
      <c r="L161" s="29">
        <f>IFERROR(IF('1. Raw Data'!I161="",AVERAGE(IF('1. Raw Data'!I3:I402&lt;&gt;"",'1. Raw Data'!I3:I402)),VALUE('1. Raw Data'!I161)),0)</f>
        <v>78414.23</v>
      </c>
      <c r="M161" s="30">
        <f>IFERROR(IF('1. Raw Data'!J161="",AVERAGE(IF('1. Raw Data'!J3:J402&lt;&gt;"",'1. Raw Data'!J3:J402)),VALUE('1. Raw Data'!J161)),0)</f>
        <v>2.96</v>
      </c>
      <c r="N161" s="28">
        <f>'1. Raw Data'!K161</f>
        <v>6</v>
      </c>
      <c r="O161" s="29">
        <f t="shared" si="11"/>
        <v>13182.099338197035</v>
      </c>
      <c r="P161" s="28">
        <f>'1. Raw Data'!L161</f>
        <v>57</v>
      </c>
      <c r="Q161" s="27" t="str">
        <f>TRIM('1. Raw Data'!M161)</f>
        <v>Standard</v>
      </c>
    </row>
    <row r="162" spans="1:17" ht="16.5" customHeight="1" x14ac:dyDescent="0.45">
      <c r="A162" s="31" t="str">
        <f>'1. Raw Data'!A162</f>
        <v>TXN-100160</v>
      </c>
      <c r="B162" s="32">
        <f>IFERROR(DATEVALUE('1. Raw Data'!B162),"")</f>
        <v>45558</v>
      </c>
      <c r="C162" s="33" t="str">
        <f t="shared" si="8"/>
        <v>Sep</v>
      </c>
      <c r="D162" s="33" t="str">
        <f t="shared" si="9"/>
        <v>Q3</v>
      </c>
      <c r="E162" s="34">
        <f t="shared" si="10"/>
        <v>2024</v>
      </c>
      <c r="F162" s="31" t="str">
        <f>PROPER(TRIM('1. Raw Data'!C162))</f>
        <v>Eastgate</v>
      </c>
      <c r="G162" s="31" t="str">
        <f>TRIM('1. Raw Data'!D162)</f>
        <v>Personal Loan</v>
      </c>
      <c r="H162" s="31" t="str">
        <f>TRIM('1. Raw Data'!E162)</f>
        <v>Loans</v>
      </c>
      <c r="I162" s="31" t="str">
        <f>TRIM('1. Raw Data'!F162)</f>
        <v>James Patel</v>
      </c>
      <c r="J162" s="33" t="str">
        <f>PROPER(TRIM('1. Raw Data'!G162))</f>
        <v>Inactive</v>
      </c>
      <c r="K162" s="33" t="str">
        <f>TRIM('1. Raw Data'!H162)</f>
        <v>Low</v>
      </c>
      <c r="L162" s="35">
        <f>IFERROR(IF('1. Raw Data'!I162="",AVERAGE(IF('1. Raw Data'!I3:I402&lt;&gt;"",'1. Raw Data'!I3:I402)),VALUE('1. Raw Data'!I162)),0)</f>
        <v>173281.67</v>
      </c>
      <c r="M162" s="36">
        <f>IFERROR(IF('1. Raw Data'!J162="",AVERAGE(IF('1. Raw Data'!J3:J402&lt;&gt;"",'1. Raw Data'!J3:J402)),VALUE('1. Raw Data'!J162)),0)</f>
        <v>3.32</v>
      </c>
      <c r="N162" s="34">
        <f>'1. Raw Data'!K162</f>
        <v>36</v>
      </c>
      <c r="O162" s="35">
        <f t="shared" si="11"/>
        <v>5063.7144503399413</v>
      </c>
      <c r="P162" s="34">
        <f>'1. Raw Data'!L162</f>
        <v>66</v>
      </c>
      <c r="Q162" s="33" t="str">
        <f>TRIM('1. Raw Data'!M162)</f>
        <v>Premium</v>
      </c>
    </row>
    <row r="163" spans="1:17" ht="16.5" customHeight="1" x14ac:dyDescent="0.45">
      <c r="A163" s="25" t="str">
        <f>'1. Raw Data'!A163</f>
        <v>TXN-100161</v>
      </c>
      <c r="B163" s="26">
        <f>IFERROR(DATEVALUE('1. Raw Data'!B163),"")</f>
        <v>45296</v>
      </c>
      <c r="C163" s="27" t="str">
        <f t="shared" si="8"/>
        <v>Jan</v>
      </c>
      <c r="D163" s="27" t="str">
        <f t="shared" si="9"/>
        <v>Q1</v>
      </c>
      <c r="E163" s="28">
        <f t="shared" si="10"/>
        <v>2024</v>
      </c>
      <c r="F163" s="25" t="str">
        <f>PROPER(TRIM('1. Raw Data'!C163))</f>
        <v>Westside</v>
      </c>
      <c r="G163" s="25" t="str">
        <f>TRIM('1. Raw Data'!D163)</f>
        <v>Fixed Deposit</v>
      </c>
      <c r="H163" s="25" t="str">
        <f>TRIM('1. Raw Data'!E163)</f>
        <v>Deposits</v>
      </c>
      <c r="I163" s="25" t="str">
        <f>TRIM('1. Raw Data'!F163)</f>
        <v>Sarah Chen</v>
      </c>
      <c r="J163" s="27" t="str">
        <f>PROPER(TRIM('1. Raw Data'!G163))</f>
        <v>Pending</v>
      </c>
      <c r="K163" s="27" t="str">
        <f>TRIM('1. Raw Data'!H163)</f>
        <v>Low</v>
      </c>
      <c r="L163" s="29">
        <f>IFERROR(IF('1. Raw Data'!I163="",AVERAGE(IF('1. Raw Data'!I3:I402&lt;&gt;"",'1. Raw Data'!I3:I402)),VALUE('1. Raw Data'!I163)),0)</f>
        <v>205554.33</v>
      </c>
      <c r="M163" s="30">
        <f>IFERROR(IF('1. Raw Data'!J163="",AVERAGE(IF('1. Raw Data'!J3:J402&lt;&gt;"",'1. Raw Data'!J3:J402)),VALUE('1. Raw Data'!J163)),0)</f>
        <v>11.93</v>
      </c>
      <c r="N163" s="28">
        <f>'1. Raw Data'!K163</f>
        <v>12</v>
      </c>
      <c r="O163" s="29">
        <f t="shared" si="11"/>
        <v>18256.52270088841</v>
      </c>
      <c r="P163" s="28">
        <f>'1. Raw Data'!L163</f>
        <v>73</v>
      </c>
      <c r="Q163" s="27" t="str">
        <f>TRIM('1. Raw Data'!M163)</f>
        <v>Premium</v>
      </c>
    </row>
    <row r="164" spans="1:17" ht="16.5" customHeight="1" x14ac:dyDescent="0.45">
      <c r="A164" s="31" t="str">
        <f>'1. Raw Data'!A164</f>
        <v>TXN-100162</v>
      </c>
      <c r="B164" s="32">
        <f>IFERROR(DATEVALUE('1. Raw Data'!B164),"")</f>
        <v>45397</v>
      </c>
      <c r="C164" s="33" t="str">
        <f t="shared" si="8"/>
        <v>Apr</v>
      </c>
      <c r="D164" s="33" t="str">
        <f t="shared" si="9"/>
        <v>Q2</v>
      </c>
      <c r="E164" s="34">
        <f t="shared" si="10"/>
        <v>2024</v>
      </c>
      <c r="F164" s="31" t="str">
        <f>PROPER(TRIM('1. Raw Data'!C164))</f>
        <v>Northpark</v>
      </c>
      <c r="G164" s="31" t="str">
        <f>TRIM('1. Raw Data'!D164)</f>
        <v>Credit Card</v>
      </c>
      <c r="H164" s="31" t="str">
        <f>TRIM('1. Raw Data'!E164)</f>
        <v>Cards</v>
      </c>
      <c r="I164" s="31" t="str">
        <f>TRIM('1. Raw Data'!F164)</f>
        <v>Maria Lopez</v>
      </c>
      <c r="J164" s="33" t="str">
        <f>PROPER(TRIM('1. Raw Data'!G164))</f>
        <v>Active</v>
      </c>
      <c r="K164" s="33" t="str">
        <f>TRIM('1. Raw Data'!H164)</f>
        <v>High</v>
      </c>
      <c r="L164" s="35">
        <f>IFERROR(IF('1. Raw Data'!I164="",AVERAGE(IF('1. Raw Data'!I3:I402&lt;&gt;"",'1. Raw Data'!I3:I402)),VALUE('1. Raw Data'!I164)),0)</f>
        <v>167044.38</v>
      </c>
      <c r="M164" s="36">
        <f>IFERROR(IF('1. Raw Data'!J164="",AVERAGE(IF('1. Raw Data'!J3:J402&lt;&gt;"",'1. Raw Data'!J3:J402)),VALUE('1. Raw Data'!J164)),0)</f>
        <v>2.98</v>
      </c>
      <c r="N164" s="34">
        <f>'1. Raw Data'!K164</f>
        <v>120</v>
      </c>
      <c r="O164" s="35">
        <f t="shared" si="11"/>
        <v>1611.4512751422837</v>
      </c>
      <c r="P164" s="34">
        <f>'1. Raw Data'!L164</f>
        <v>41</v>
      </c>
      <c r="Q164" s="33" t="str">
        <f>TRIM('1. Raw Data'!M164)</f>
        <v>Premium</v>
      </c>
    </row>
    <row r="165" spans="1:17" ht="16.5" customHeight="1" x14ac:dyDescent="0.45">
      <c r="A165" s="25" t="str">
        <f>'1. Raw Data'!A165</f>
        <v>TXN-100163</v>
      </c>
      <c r="B165" s="26">
        <f>IFERROR(DATEVALUE('1. Raw Data'!B165),"")</f>
        <v>45332</v>
      </c>
      <c r="C165" s="27" t="str">
        <f t="shared" si="8"/>
        <v>Feb</v>
      </c>
      <c r="D165" s="27" t="str">
        <f t="shared" si="9"/>
        <v>Q1</v>
      </c>
      <c r="E165" s="28">
        <f t="shared" si="10"/>
        <v>2024</v>
      </c>
      <c r="F165" s="25" t="str">
        <f>PROPER(TRIM('1. Raw Data'!C165))</f>
        <v>Uptown</v>
      </c>
      <c r="G165" s="25" t="str">
        <f>TRIM('1. Raw Data'!D165)</f>
        <v>Checking Account</v>
      </c>
      <c r="H165" s="25" t="str">
        <f>TRIM('1. Raw Data'!E165)</f>
        <v>Deposits</v>
      </c>
      <c r="I165" s="25" t="str">
        <f>TRIM('1. Raw Data'!F165)</f>
        <v>David Kim</v>
      </c>
      <c r="J165" s="27" t="str">
        <f>PROPER(TRIM('1. Raw Data'!G165))</f>
        <v>Active</v>
      </c>
      <c r="K165" s="27" t="str">
        <f>TRIM('1. Raw Data'!H165)</f>
        <v>High</v>
      </c>
      <c r="L165" s="29">
        <f>IFERROR(IF('1. Raw Data'!I165="",AVERAGE(IF('1. Raw Data'!I3:I402&lt;&gt;"",'1. Raw Data'!I3:I402)),VALUE('1. Raw Data'!I165)),0)</f>
        <v>99739.78</v>
      </c>
      <c r="M165" s="30">
        <f>IFERROR(IF('1. Raw Data'!J165="",AVERAGE(IF('1. Raw Data'!J3:J402&lt;&gt;"",'1. Raw Data'!J3:J402)),VALUE('1. Raw Data'!J165)),0)</f>
        <v>10.57</v>
      </c>
      <c r="N165" s="28">
        <f>'1. Raw Data'!K165</f>
        <v>12</v>
      </c>
      <c r="O165" s="29">
        <f t="shared" si="11"/>
        <v>8795.1745076680763</v>
      </c>
      <c r="P165" s="28">
        <f>'1. Raw Data'!L165</f>
        <v>64</v>
      </c>
      <c r="Q165" s="27" t="str">
        <f>TRIM('1. Raw Data'!M165)</f>
        <v>Standard</v>
      </c>
    </row>
    <row r="166" spans="1:17" ht="16.5" customHeight="1" x14ac:dyDescent="0.45">
      <c r="A166" s="31" t="str">
        <f>'1. Raw Data'!A166</f>
        <v>TXN-100164</v>
      </c>
      <c r="B166" s="32">
        <f>IFERROR(DATEVALUE('1. Raw Data'!B166),"")</f>
        <v>45394</v>
      </c>
      <c r="C166" s="33" t="str">
        <f t="shared" si="8"/>
        <v>Apr</v>
      </c>
      <c r="D166" s="33" t="str">
        <f t="shared" si="9"/>
        <v>Q2</v>
      </c>
      <c r="E166" s="34">
        <f t="shared" si="10"/>
        <v>2024</v>
      </c>
      <c r="F166" s="31" t="str">
        <f>PROPER(TRIM('1. Raw Data'!C166))</f>
        <v>Northpark</v>
      </c>
      <c r="G166" s="31" t="str">
        <f>TRIM('1. Raw Data'!D166)</f>
        <v>Business Loan</v>
      </c>
      <c r="H166" s="31" t="str">
        <f>TRIM('1. Raw Data'!E166)</f>
        <v>Loans</v>
      </c>
      <c r="I166" s="31" t="str">
        <f>TRIM('1. Raw Data'!F166)</f>
        <v>Rachel Moore</v>
      </c>
      <c r="J166" s="33" t="str">
        <f>PROPER(TRIM('1. Raw Data'!G166))</f>
        <v>Pending</v>
      </c>
      <c r="K166" s="33" t="str">
        <f>TRIM('1. Raw Data'!H166)</f>
        <v>Medium</v>
      </c>
      <c r="L166" s="35">
        <f>IFERROR(IF('1. Raw Data'!I166="",AVERAGE(IF('1. Raw Data'!I3:I402&lt;&gt;"",'1. Raw Data'!I3:I402)),VALUE('1. Raw Data'!I166)),0)</f>
        <v>207853.97</v>
      </c>
      <c r="M166" s="36">
        <f>IFERROR(IF('1. Raw Data'!J166="",AVERAGE(IF('1. Raw Data'!J3:J402&lt;&gt;"",'1. Raw Data'!J3:J402)),VALUE('1. Raw Data'!J166)),0)</f>
        <v>3.86</v>
      </c>
      <c r="N166" s="34">
        <f>'1. Raw Data'!K166</f>
        <v>60</v>
      </c>
      <c r="O166" s="35">
        <f t="shared" si="11"/>
        <v>3814.8293323774192</v>
      </c>
      <c r="P166" s="34">
        <f>'1. Raw Data'!L166</f>
        <v>65</v>
      </c>
      <c r="Q166" s="33" t="str">
        <f>TRIM('1. Raw Data'!M166)</f>
        <v>Premium</v>
      </c>
    </row>
    <row r="167" spans="1:17" ht="16.5" customHeight="1" x14ac:dyDescent="0.45">
      <c r="A167" s="25" t="str">
        <f>'1. Raw Data'!A167</f>
        <v>TXN-100165</v>
      </c>
      <c r="B167" s="26">
        <f>IFERROR(DATEVALUE('1. Raw Data'!B167),"")</f>
        <v>45374</v>
      </c>
      <c r="C167" s="27" t="str">
        <f t="shared" si="8"/>
        <v>Mar</v>
      </c>
      <c r="D167" s="27" t="str">
        <f t="shared" si="9"/>
        <v>Q1</v>
      </c>
      <c r="E167" s="28">
        <f t="shared" si="10"/>
        <v>2024</v>
      </c>
      <c r="F167" s="25" t="str">
        <f>PROPER(TRIM('1. Raw Data'!C167))</f>
        <v>Uptown</v>
      </c>
      <c r="G167" s="25" t="str">
        <f>TRIM('1. Raw Data'!D167)</f>
        <v>Business Loan</v>
      </c>
      <c r="H167" s="25" t="str">
        <f>TRIM('1. Raw Data'!E167)</f>
        <v>Loans</v>
      </c>
      <c r="I167" s="25" t="str">
        <f>TRIM('1. Raw Data'!F167)</f>
        <v>James Patel</v>
      </c>
      <c r="J167" s="27" t="str">
        <f>PROPER(TRIM('1. Raw Data'!G167))</f>
        <v>Active</v>
      </c>
      <c r="K167" s="27" t="str">
        <f>TRIM('1. Raw Data'!H167)</f>
        <v>High</v>
      </c>
      <c r="L167" s="29">
        <f>IFERROR(IF('1. Raw Data'!I167="",AVERAGE(IF('1. Raw Data'!I3:I402&lt;&gt;"",'1. Raw Data'!I3:I402)),VALUE('1. Raw Data'!I167)),0)</f>
        <v>109103.27</v>
      </c>
      <c r="M167" s="30">
        <f>IFERROR(IF('1. Raw Data'!J167="",AVERAGE(IF('1. Raw Data'!J3:J402&lt;&gt;"",'1. Raw Data'!J3:J402)),VALUE('1. Raw Data'!J167)),0)</f>
        <v>13.93</v>
      </c>
      <c r="N167" s="28">
        <f>'1. Raw Data'!K167</f>
        <v>6</v>
      </c>
      <c r="O167" s="29">
        <f t="shared" si="11"/>
        <v>18929.779233550034</v>
      </c>
      <c r="P167" s="28">
        <f>'1. Raw Data'!L167</f>
        <v>68</v>
      </c>
      <c r="Q167" s="27" t="str">
        <f>TRIM('1. Raw Data'!M167)</f>
        <v>Premium</v>
      </c>
    </row>
    <row r="168" spans="1:17" ht="16.5" customHeight="1" x14ac:dyDescent="0.45">
      <c r="A168" s="31" t="str">
        <f>'1. Raw Data'!A168</f>
        <v>TXN-100166</v>
      </c>
      <c r="B168" s="32">
        <f>IFERROR(DATEVALUE('1. Raw Data'!B168),"")</f>
        <v>45414</v>
      </c>
      <c r="C168" s="33" t="str">
        <f t="shared" si="8"/>
        <v>May</v>
      </c>
      <c r="D168" s="33" t="str">
        <f t="shared" si="9"/>
        <v>Q2</v>
      </c>
      <c r="E168" s="34">
        <f t="shared" si="10"/>
        <v>2024</v>
      </c>
      <c r="F168" s="31" t="str">
        <f>PROPER(TRIM('1. Raw Data'!C168))</f>
        <v>Downtown</v>
      </c>
      <c r="G168" s="31" t="str">
        <f>TRIM('1. Raw Data'!D168)</f>
        <v>Checking Account</v>
      </c>
      <c r="H168" s="31" t="str">
        <f>TRIM('1. Raw Data'!E168)</f>
        <v>Deposits</v>
      </c>
      <c r="I168" s="31" t="str">
        <f>TRIM('1. Raw Data'!F168)</f>
        <v>Maria Lopez</v>
      </c>
      <c r="J168" s="33" t="str">
        <f>PROPER(TRIM('1. Raw Data'!G168))</f>
        <v>Active</v>
      </c>
      <c r="K168" s="33" t="str">
        <f>TRIM('1. Raw Data'!H168)</f>
        <v>Low</v>
      </c>
      <c r="L168" s="35">
        <f>IFERROR(IF('1. Raw Data'!I168="",AVERAGE(IF('1. Raw Data'!I3:I402&lt;&gt;"",'1. Raw Data'!I3:I402)),VALUE('1. Raw Data'!I168)),0)</f>
        <v>55182.89</v>
      </c>
      <c r="M168" s="36">
        <f>IFERROR(IF('1. Raw Data'!J168="",AVERAGE(IF('1. Raw Data'!J3:J402&lt;&gt;"",'1. Raw Data'!J3:J402)),VALUE('1. Raw Data'!J168)),0)</f>
        <v>10.01</v>
      </c>
      <c r="N168" s="34">
        <f>'1. Raw Data'!K168</f>
        <v>48</v>
      </c>
      <c r="O168" s="35">
        <f t="shared" si="11"/>
        <v>1399.8456792458087</v>
      </c>
      <c r="P168" s="34">
        <f>'1. Raw Data'!L168</f>
        <v>27</v>
      </c>
      <c r="Q168" s="33" t="str">
        <f>TRIM('1. Raw Data'!M168)</f>
        <v>Standard</v>
      </c>
    </row>
    <row r="169" spans="1:17" ht="16.5" customHeight="1" x14ac:dyDescent="0.45">
      <c r="A169" s="25" t="str">
        <f>'1. Raw Data'!A169</f>
        <v>TXN-100167</v>
      </c>
      <c r="B169" s="26">
        <f>IFERROR(DATEVALUE('1. Raw Data'!B169),"")</f>
        <v>45334</v>
      </c>
      <c r="C169" s="27" t="str">
        <f t="shared" si="8"/>
        <v>Feb</v>
      </c>
      <c r="D169" s="27" t="str">
        <f t="shared" si="9"/>
        <v>Q1</v>
      </c>
      <c r="E169" s="28">
        <f t="shared" si="10"/>
        <v>2024</v>
      </c>
      <c r="F169" s="25" t="str">
        <f>PROPER(TRIM('1. Raw Data'!C169))</f>
        <v>Northpark</v>
      </c>
      <c r="G169" s="25" t="str">
        <f>TRIM('1. Raw Data'!D169)</f>
        <v>Checking Account</v>
      </c>
      <c r="H169" s="25" t="str">
        <f>TRIM('1. Raw Data'!E169)</f>
        <v>Deposits</v>
      </c>
      <c r="I169" s="25" t="str">
        <f>TRIM('1. Raw Data'!F169)</f>
        <v>David Kim</v>
      </c>
      <c r="J169" s="27" t="str">
        <f>PROPER(TRIM('1. Raw Data'!G169))</f>
        <v>Active</v>
      </c>
      <c r="K169" s="27" t="str">
        <f>TRIM('1. Raw Data'!H169)</f>
        <v>Low</v>
      </c>
      <c r="L169" s="29">
        <f>IFERROR(IF('1. Raw Data'!I169="",AVERAGE(IF('1. Raw Data'!I3:I402&lt;&gt;"",'1. Raw Data'!I3:I402)),VALUE('1. Raw Data'!I169)),0)</f>
        <v>199534.75</v>
      </c>
      <c r="M169" s="30">
        <f>IFERROR(IF('1. Raw Data'!J169="",AVERAGE(IF('1. Raw Data'!J3:J402&lt;&gt;"",'1. Raw Data'!J3:J402)),VALUE('1. Raw Data'!J169)),0)</f>
        <v>9.1</v>
      </c>
      <c r="N169" s="28">
        <f>'1. Raw Data'!K169</f>
        <v>120</v>
      </c>
      <c r="O169" s="29">
        <f t="shared" si="11"/>
        <v>2538.4332837150641</v>
      </c>
      <c r="P169" s="28">
        <f>'1. Raw Data'!L169</f>
        <v>64</v>
      </c>
      <c r="Q169" s="27" t="str">
        <f>TRIM('1. Raw Data'!M169)</f>
        <v>Premium</v>
      </c>
    </row>
    <row r="170" spans="1:17" ht="16.5" customHeight="1" x14ac:dyDescent="0.45">
      <c r="A170" s="31" t="str">
        <f>'1. Raw Data'!A170</f>
        <v>TXN-100168</v>
      </c>
      <c r="B170" s="32">
        <f>IFERROR(DATEVALUE('1. Raw Data'!B170),"")</f>
        <v>45354</v>
      </c>
      <c r="C170" s="33" t="str">
        <f t="shared" si="8"/>
        <v>Mar</v>
      </c>
      <c r="D170" s="33" t="str">
        <f t="shared" si="9"/>
        <v>Q1</v>
      </c>
      <c r="E170" s="34">
        <f t="shared" si="10"/>
        <v>2024</v>
      </c>
      <c r="F170" s="31" t="str">
        <f>PROPER(TRIM('1. Raw Data'!C170))</f>
        <v>Downtown</v>
      </c>
      <c r="G170" s="31" t="str">
        <f>TRIM('1. Raw Data'!D170)</f>
        <v>Checking Account</v>
      </c>
      <c r="H170" s="31" t="str">
        <f>TRIM('1. Raw Data'!E170)</f>
        <v>Deposits</v>
      </c>
      <c r="I170" s="31" t="str">
        <f>TRIM('1. Raw Data'!F170)</f>
        <v>Maria Lopez</v>
      </c>
      <c r="J170" s="33" t="str">
        <f>PROPER(TRIM('1. Raw Data'!G170))</f>
        <v>Inactive</v>
      </c>
      <c r="K170" s="33" t="str">
        <f>TRIM('1. Raw Data'!H170)</f>
        <v>High</v>
      </c>
      <c r="L170" s="35">
        <f>IFERROR(IF('1. Raw Data'!I170="",AVERAGE(IF('1. Raw Data'!I3:I402&lt;&gt;"",'1. Raw Data'!I3:I402)),VALUE('1. Raw Data'!I170)),0)</f>
        <v>241610.25</v>
      </c>
      <c r="M170" s="36">
        <f>IFERROR(IF('1. Raw Data'!J170="",AVERAGE(IF('1. Raw Data'!J3:J402&lt;&gt;"",'1. Raw Data'!J3:J402)),VALUE('1. Raw Data'!J170)),0)</f>
        <v>12.95</v>
      </c>
      <c r="N170" s="34">
        <f>'1. Raw Data'!K170</f>
        <v>120</v>
      </c>
      <c r="O170" s="35">
        <f t="shared" si="11"/>
        <v>3600.3786399482406</v>
      </c>
      <c r="P170" s="34">
        <f>'1. Raw Data'!L170</f>
        <v>37</v>
      </c>
      <c r="Q170" s="33" t="str">
        <f>TRIM('1. Raw Data'!M170)</f>
        <v>Premium</v>
      </c>
    </row>
    <row r="171" spans="1:17" ht="16.5" customHeight="1" x14ac:dyDescent="0.45">
      <c r="A171" s="25" t="str">
        <f>'1. Raw Data'!A171</f>
        <v>TXN-100169</v>
      </c>
      <c r="B171" s="26">
        <f>IFERROR(DATEVALUE('1. Raw Data'!B171),"")</f>
        <v>45598</v>
      </c>
      <c r="C171" s="27" t="str">
        <f t="shared" si="8"/>
        <v>Nov</v>
      </c>
      <c r="D171" s="27" t="str">
        <f t="shared" si="9"/>
        <v>Q4</v>
      </c>
      <c r="E171" s="28">
        <f t="shared" si="10"/>
        <v>2024</v>
      </c>
      <c r="F171" s="25" t="str">
        <f>PROPER(TRIM('1. Raw Data'!C171))</f>
        <v>Eastgate</v>
      </c>
      <c r="G171" s="25" t="str">
        <f>TRIM('1. Raw Data'!D171)</f>
        <v>Personal Loan</v>
      </c>
      <c r="H171" s="25" t="str">
        <f>TRIM('1. Raw Data'!E171)</f>
        <v>Loans</v>
      </c>
      <c r="I171" s="25" t="str">
        <f>TRIM('1. Raw Data'!F171)</f>
        <v>Sarah Chen</v>
      </c>
      <c r="J171" s="27" t="str">
        <f>PROPER(TRIM('1. Raw Data'!G171))</f>
        <v>Active</v>
      </c>
      <c r="K171" s="27" t="str">
        <f>TRIM('1. Raw Data'!H171)</f>
        <v>Low</v>
      </c>
      <c r="L171" s="29">
        <f>IFERROR(IF('1. Raw Data'!I171="",AVERAGE(IF('1. Raw Data'!I3:I402&lt;&gt;"",'1. Raw Data'!I3:I402)),VALUE('1. Raw Data'!I171)),0)</f>
        <v>189369.2</v>
      </c>
      <c r="M171" s="30">
        <f>IFERROR(IF('1. Raw Data'!J171="",AVERAGE(IF('1. Raw Data'!J3:J402&lt;&gt;"",'1. Raw Data'!J3:J402)),VALUE('1. Raw Data'!J171)),0)</f>
        <v>11.99</v>
      </c>
      <c r="N171" s="28">
        <f>'1. Raw Data'!K171</f>
        <v>360</v>
      </c>
      <c r="O171" s="29">
        <f t="shared" si="11"/>
        <v>1946.4178849541831</v>
      </c>
      <c r="P171" s="28">
        <f>'1. Raw Data'!L171</f>
        <v>44</v>
      </c>
      <c r="Q171" s="27" t="str">
        <f>TRIM('1. Raw Data'!M171)</f>
        <v>Premium</v>
      </c>
    </row>
    <row r="172" spans="1:17" ht="16.5" customHeight="1" x14ac:dyDescent="0.45">
      <c r="A172" s="31" t="str">
        <f>'1. Raw Data'!A172</f>
        <v>TXN-100170</v>
      </c>
      <c r="B172" s="32">
        <f>IFERROR(DATEVALUE('1. Raw Data'!B172),"")</f>
        <v>45416</v>
      </c>
      <c r="C172" s="33" t="str">
        <f t="shared" si="8"/>
        <v>May</v>
      </c>
      <c r="D172" s="33" t="str">
        <f t="shared" si="9"/>
        <v>Q2</v>
      </c>
      <c r="E172" s="34">
        <f t="shared" si="10"/>
        <v>2024</v>
      </c>
      <c r="F172" s="31" t="str">
        <f>PROPER(TRIM('1. Raw Data'!C172))</f>
        <v>Uptown</v>
      </c>
      <c r="G172" s="31" t="str">
        <f>TRIM('1. Raw Data'!D172)</f>
        <v>Auto Loan</v>
      </c>
      <c r="H172" s="31" t="str">
        <f>TRIM('1. Raw Data'!E172)</f>
        <v>Loans</v>
      </c>
      <c r="I172" s="31" t="str">
        <f>TRIM('1. Raw Data'!F172)</f>
        <v>Rachel Moore</v>
      </c>
      <c r="J172" s="33" t="str">
        <f>PROPER(TRIM('1. Raw Data'!G172))</f>
        <v>Pending</v>
      </c>
      <c r="K172" s="33" t="str">
        <f>TRIM('1. Raw Data'!H172)</f>
        <v>Low</v>
      </c>
      <c r="L172" s="35">
        <f>IFERROR(IF('1. Raw Data'!I172="",AVERAGE(IF('1. Raw Data'!I3:I402&lt;&gt;"",'1. Raw Data'!I3:I402)),VALUE('1. Raw Data'!I172)),0)</f>
        <v>164079.41</v>
      </c>
      <c r="M172" s="36">
        <f>IFERROR(IF('1. Raw Data'!J172="",AVERAGE(IF('1. Raw Data'!J3:J402&lt;&gt;"",'1. Raw Data'!J3:J402)),VALUE('1. Raw Data'!J172)),0)</f>
        <v>0</v>
      </c>
      <c r="N172" s="34">
        <f>'1. Raw Data'!K172</f>
        <v>180</v>
      </c>
      <c r="O172" s="35">
        <f t="shared" si="11"/>
        <v>0</v>
      </c>
      <c r="P172" s="34">
        <f>'1. Raw Data'!L172</f>
        <v>66</v>
      </c>
      <c r="Q172" s="33" t="str">
        <f>TRIM('1. Raw Data'!M172)</f>
        <v>Premium</v>
      </c>
    </row>
    <row r="173" spans="1:17" ht="16.5" customHeight="1" x14ac:dyDescent="0.45">
      <c r="A173" s="25" t="str">
        <f>'1. Raw Data'!A173</f>
        <v>TXN-100171</v>
      </c>
      <c r="B173" s="26">
        <f>IFERROR(DATEVALUE('1. Raw Data'!B173),"")</f>
        <v>45611</v>
      </c>
      <c r="C173" s="27" t="str">
        <f t="shared" si="8"/>
        <v>Nov</v>
      </c>
      <c r="D173" s="27" t="str">
        <f t="shared" si="9"/>
        <v>Q4</v>
      </c>
      <c r="E173" s="28">
        <f t="shared" si="10"/>
        <v>2024</v>
      </c>
      <c r="F173" s="25" t="str">
        <f>PROPER(TRIM('1. Raw Data'!C173))</f>
        <v>Downtown</v>
      </c>
      <c r="G173" s="25" t="str">
        <f>TRIM('1. Raw Data'!D173)</f>
        <v>Savings Account</v>
      </c>
      <c r="H173" s="25" t="str">
        <f>TRIM('1. Raw Data'!E173)</f>
        <v>Deposits</v>
      </c>
      <c r="I173" s="25" t="str">
        <f>TRIM('1. Raw Data'!F173)</f>
        <v>Rachel Moore</v>
      </c>
      <c r="J173" s="27" t="str">
        <f>PROPER(TRIM('1. Raw Data'!G173))</f>
        <v>Active</v>
      </c>
      <c r="K173" s="27" t="str">
        <f>TRIM('1. Raw Data'!H173)</f>
        <v>Medium</v>
      </c>
      <c r="L173" s="29">
        <f>IFERROR(IF('1. Raw Data'!I173="",AVERAGE(IF('1. Raw Data'!I3:I402&lt;&gt;"",'1. Raw Data'!I3:I402)),VALUE('1. Raw Data'!I173)),0)</f>
        <v>197720.31</v>
      </c>
      <c r="M173" s="30">
        <f>IFERROR(IF('1. Raw Data'!J173="",AVERAGE(IF('1. Raw Data'!J3:J402&lt;&gt;"",'1. Raw Data'!J3:J402)),VALUE('1. Raw Data'!J173)),0)</f>
        <v>9.14</v>
      </c>
      <c r="N173" s="28">
        <f>'1. Raw Data'!K173</f>
        <v>12</v>
      </c>
      <c r="O173" s="29">
        <f t="shared" si="11"/>
        <v>17303.772158077638</v>
      </c>
      <c r="P173" s="28">
        <f>'1. Raw Data'!L173</f>
        <v>40</v>
      </c>
      <c r="Q173" s="27" t="str">
        <f>TRIM('1. Raw Data'!M173)</f>
        <v>Premium</v>
      </c>
    </row>
    <row r="174" spans="1:17" ht="16.5" customHeight="1" x14ac:dyDescent="0.45">
      <c r="A174" s="31" t="str">
        <f>'1. Raw Data'!A174</f>
        <v>TXN-100172</v>
      </c>
      <c r="B174" s="32">
        <f>IFERROR(DATEVALUE('1. Raw Data'!B174),"")</f>
        <v>45397</v>
      </c>
      <c r="C174" s="33" t="str">
        <f t="shared" si="8"/>
        <v>Apr</v>
      </c>
      <c r="D174" s="33" t="str">
        <f t="shared" si="9"/>
        <v>Q2</v>
      </c>
      <c r="E174" s="34">
        <f t="shared" si="10"/>
        <v>2024</v>
      </c>
      <c r="F174" s="31" t="str">
        <f>PROPER(TRIM('1. Raw Data'!C174))</f>
        <v>Northpark</v>
      </c>
      <c r="G174" s="31" t="str">
        <f>TRIM('1. Raw Data'!D174)</f>
        <v>Fixed Deposit</v>
      </c>
      <c r="H174" s="31" t="str">
        <f>TRIM('1. Raw Data'!E174)</f>
        <v>Deposits</v>
      </c>
      <c r="I174" s="31" t="str">
        <f>TRIM('1. Raw Data'!F174)</f>
        <v>Rachel Moore</v>
      </c>
      <c r="J174" s="33" t="str">
        <f>PROPER(TRIM('1. Raw Data'!G174))</f>
        <v>Active</v>
      </c>
      <c r="K174" s="33" t="str">
        <f>TRIM('1. Raw Data'!H174)</f>
        <v>Medium</v>
      </c>
      <c r="L174" s="35">
        <f>IFERROR(IF('1. Raw Data'!I174="",AVERAGE(IF('1. Raw Data'!I3:I402&lt;&gt;"",'1. Raw Data'!I3:I402)),VALUE('1. Raw Data'!I174)),0)</f>
        <v>59394.2</v>
      </c>
      <c r="M174" s="36">
        <f>IFERROR(IF('1. Raw Data'!J174="",AVERAGE(IF('1. Raw Data'!J3:J402&lt;&gt;"",'1. Raw Data'!J3:J402)),VALUE('1. Raw Data'!J174)),0)</f>
        <v>2.99</v>
      </c>
      <c r="N174" s="34">
        <f>'1. Raw Data'!K174</f>
        <v>48</v>
      </c>
      <c r="O174" s="35">
        <f t="shared" si="11"/>
        <v>1314.3881573963952</v>
      </c>
      <c r="P174" s="34">
        <f>'1. Raw Data'!L174</f>
        <v>33</v>
      </c>
      <c r="Q174" s="33" t="str">
        <f>TRIM('1. Raw Data'!M174)</f>
        <v>Standard</v>
      </c>
    </row>
    <row r="175" spans="1:17" ht="16.5" customHeight="1" x14ac:dyDescent="0.45">
      <c r="A175" s="25" t="str">
        <f>'1. Raw Data'!A175</f>
        <v>TXN-100173</v>
      </c>
      <c r="B175" s="26">
        <f>IFERROR(DATEVALUE('1. Raw Data'!B175),"")</f>
        <v>45509</v>
      </c>
      <c r="C175" s="27" t="str">
        <f t="shared" si="8"/>
        <v>Aug</v>
      </c>
      <c r="D175" s="27" t="str">
        <f t="shared" si="9"/>
        <v>Q3</v>
      </c>
      <c r="E175" s="28">
        <f t="shared" si="10"/>
        <v>2024</v>
      </c>
      <c r="F175" s="25" t="str">
        <f>PROPER(TRIM('1. Raw Data'!C175))</f>
        <v>Eastgate</v>
      </c>
      <c r="G175" s="25" t="str">
        <f>TRIM('1. Raw Data'!D175)</f>
        <v>Auto Loan</v>
      </c>
      <c r="H175" s="25" t="str">
        <f>TRIM('1. Raw Data'!E175)</f>
        <v>Loans</v>
      </c>
      <c r="I175" s="25" t="str">
        <f>TRIM('1. Raw Data'!F175)</f>
        <v>James Patel</v>
      </c>
      <c r="J175" s="27" t="str">
        <f>PROPER(TRIM('1. Raw Data'!G175))</f>
        <v>Active</v>
      </c>
      <c r="K175" s="27" t="str">
        <f>TRIM('1. Raw Data'!H175)</f>
        <v>Low</v>
      </c>
      <c r="L175" s="29">
        <f>IFERROR(IF('1. Raw Data'!I175="",AVERAGE(IF('1. Raw Data'!I3:I402&lt;&gt;"",'1. Raw Data'!I3:I402)),VALUE('1. Raw Data'!I175)),0)</f>
        <v>121750.16</v>
      </c>
      <c r="M175" s="30">
        <f>IFERROR(IF('1. Raw Data'!J175="",AVERAGE(IF('1. Raw Data'!J3:J402&lt;&gt;"",'1. Raw Data'!J3:J402)),VALUE('1. Raw Data'!J175)),0)</f>
        <v>4.66</v>
      </c>
      <c r="N175" s="28">
        <f>'1. Raw Data'!K175</f>
        <v>60</v>
      </c>
      <c r="O175" s="29">
        <f t="shared" si="11"/>
        <v>2278.6590908933331</v>
      </c>
      <c r="P175" s="28">
        <f>'1. Raw Data'!L175</f>
        <v>50</v>
      </c>
      <c r="Q175" s="27" t="str">
        <f>TRIM('1. Raw Data'!M175)</f>
        <v>Premium</v>
      </c>
    </row>
    <row r="176" spans="1:17" ht="16.5" customHeight="1" x14ac:dyDescent="0.45">
      <c r="A176" s="31" t="str">
        <f>'1. Raw Data'!A176</f>
        <v>TXN-100174</v>
      </c>
      <c r="B176" s="32">
        <f>IFERROR(DATEVALUE('1. Raw Data'!B176),"")</f>
        <v>45554</v>
      </c>
      <c r="C176" s="33" t="str">
        <f t="shared" si="8"/>
        <v>Sep</v>
      </c>
      <c r="D176" s="33" t="str">
        <f t="shared" si="9"/>
        <v>Q3</v>
      </c>
      <c r="E176" s="34">
        <f t="shared" si="10"/>
        <v>2024</v>
      </c>
      <c r="F176" s="31" t="str">
        <f>PROPER(TRIM('1. Raw Data'!C176))</f>
        <v>Uptown</v>
      </c>
      <c r="G176" s="31" t="str">
        <f>TRIM('1. Raw Data'!D176)</f>
        <v>Mortgage</v>
      </c>
      <c r="H176" s="31" t="str">
        <f>TRIM('1. Raw Data'!E176)</f>
        <v>Loans</v>
      </c>
      <c r="I176" s="31" t="str">
        <f>TRIM('1. Raw Data'!F176)</f>
        <v>James Patel</v>
      </c>
      <c r="J176" s="33" t="str">
        <f>PROPER(TRIM('1. Raw Data'!G176))</f>
        <v>Inactive</v>
      </c>
      <c r="K176" s="33" t="str">
        <f>TRIM('1. Raw Data'!H176)</f>
        <v>Medium</v>
      </c>
      <c r="L176" s="35">
        <f>IFERROR(IF('1. Raw Data'!I176="",AVERAGE(IF('1. Raw Data'!I3:I402&lt;&gt;"",'1. Raw Data'!I3:I402)),VALUE('1. Raw Data'!I176)),0)</f>
        <v>44846.69</v>
      </c>
      <c r="M176" s="36">
        <f>IFERROR(IF('1. Raw Data'!J176="",AVERAGE(IF('1. Raw Data'!J3:J402&lt;&gt;"",'1. Raw Data'!J3:J402)),VALUE('1. Raw Data'!J176)),0)</f>
        <v>5.36</v>
      </c>
      <c r="N176" s="34">
        <f>'1. Raw Data'!K176</f>
        <v>180</v>
      </c>
      <c r="O176" s="35">
        <f t="shared" si="11"/>
        <v>363.11167373633913</v>
      </c>
      <c r="P176" s="34">
        <f>'1. Raw Data'!L176</f>
        <v>56</v>
      </c>
      <c r="Q176" s="33" t="str">
        <f>TRIM('1. Raw Data'!M176)</f>
        <v>Standard</v>
      </c>
    </row>
    <row r="177" spans="1:17" ht="16.5" customHeight="1" x14ac:dyDescent="0.45">
      <c r="A177" s="25" t="str">
        <f>'1. Raw Data'!A177</f>
        <v>TXN-100175</v>
      </c>
      <c r="B177" s="26">
        <f>IFERROR(DATEVALUE('1. Raw Data'!B177),"")</f>
        <v>45549</v>
      </c>
      <c r="C177" s="27" t="str">
        <f t="shared" si="8"/>
        <v>Sep</v>
      </c>
      <c r="D177" s="27" t="str">
        <f t="shared" si="9"/>
        <v>Q3</v>
      </c>
      <c r="E177" s="28">
        <f t="shared" si="10"/>
        <v>2024</v>
      </c>
      <c r="F177" s="25" t="str">
        <f>PROPER(TRIM('1. Raw Data'!C177))</f>
        <v>Northpark</v>
      </c>
      <c r="G177" s="25" t="str">
        <f>TRIM('1. Raw Data'!D177)</f>
        <v>Savings Account</v>
      </c>
      <c r="H177" s="25" t="str">
        <f>TRIM('1. Raw Data'!E177)</f>
        <v>Deposits</v>
      </c>
      <c r="I177" s="25" t="str">
        <f>TRIM('1. Raw Data'!F177)</f>
        <v>Sarah Chen</v>
      </c>
      <c r="J177" s="27" t="str">
        <f>PROPER(TRIM('1. Raw Data'!G177))</f>
        <v>Active</v>
      </c>
      <c r="K177" s="27" t="str">
        <f>TRIM('1. Raw Data'!H177)</f>
        <v>Medium</v>
      </c>
      <c r="L177" s="29">
        <f>IFERROR(IF('1. Raw Data'!I177="",AVERAGE(IF('1. Raw Data'!I3:I402&lt;&gt;"",'1. Raw Data'!I3:I402)),VALUE('1. Raw Data'!I177)),0)</f>
        <v>223665.27</v>
      </c>
      <c r="M177" s="30">
        <f>IFERROR(IF('1. Raw Data'!J177="",AVERAGE(IF('1. Raw Data'!J3:J402&lt;&gt;"",'1. Raw Data'!J3:J402)),VALUE('1. Raw Data'!J177)),0)</f>
        <v>13.18</v>
      </c>
      <c r="N177" s="28">
        <f>'1. Raw Data'!K177</f>
        <v>240</v>
      </c>
      <c r="O177" s="29">
        <f t="shared" si="11"/>
        <v>2649.141349487782</v>
      </c>
      <c r="P177" s="28">
        <f>'1. Raw Data'!L177</f>
        <v>28</v>
      </c>
      <c r="Q177" s="27" t="str">
        <f>TRIM('1. Raw Data'!M177)</f>
        <v>Premium</v>
      </c>
    </row>
    <row r="178" spans="1:17" ht="16.5" customHeight="1" x14ac:dyDescent="0.45">
      <c r="A178" s="31" t="str">
        <f>'1. Raw Data'!A178</f>
        <v>TXN-100176</v>
      </c>
      <c r="B178" s="32">
        <f>IFERROR(DATEVALUE('1. Raw Data'!B178),"")</f>
        <v>45557</v>
      </c>
      <c r="C178" s="33" t="str">
        <f t="shared" si="8"/>
        <v>Sep</v>
      </c>
      <c r="D178" s="33" t="str">
        <f t="shared" si="9"/>
        <v>Q3</v>
      </c>
      <c r="E178" s="34">
        <f t="shared" si="10"/>
        <v>2024</v>
      </c>
      <c r="F178" s="31" t="str">
        <f>PROPER(TRIM('1. Raw Data'!C178))</f>
        <v>Westside</v>
      </c>
      <c r="G178" s="31" t="str">
        <f>TRIM('1. Raw Data'!D178)</f>
        <v>Business Loan</v>
      </c>
      <c r="H178" s="31" t="str">
        <f>TRIM('1. Raw Data'!E178)</f>
        <v>Loans</v>
      </c>
      <c r="I178" s="31" t="str">
        <f>TRIM('1. Raw Data'!F178)</f>
        <v>Sarah Chen</v>
      </c>
      <c r="J178" s="33" t="str">
        <f>PROPER(TRIM('1. Raw Data'!G178))</f>
        <v>Active</v>
      </c>
      <c r="K178" s="33" t="str">
        <f>TRIM('1. Raw Data'!H178)</f>
        <v>Medium</v>
      </c>
      <c r="L178" s="35">
        <f>IFERROR(IF('1. Raw Data'!I178="",AVERAGE(IF('1. Raw Data'!I3:I402&lt;&gt;"",'1. Raw Data'!I3:I402)),VALUE('1. Raw Data'!I178)),0)</f>
        <v>213307.98</v>
      </c>
      <c r="M178" s="36">
        <f>IFERROR(IF('1. Raw Data'!J178="",AVERAGE(IF('1. Raw Data'!J3:J402&lt;&gt;"",'1. Raw Data'!J3:J402)),VALUE('1. Raw Data'!J178)),0)</f>
        <v>2.77</v>
      </c>
      <c r="N178" s="34">
        <f>'1. Raw Data'!K178</f>
        <v>240</v>
      </c>
      <c r="O178" s="35">
        <f t="shared" si="11"/>
        <v>1158.5922013620275</v>
      </c>
      <c r="P178" s="34">
        <f>'1. Raw Data'!L178</f>
        <v>63</v>
      </c>
      <c r="Q178" s="33" t="str">
        <f>TRIM('1. Raw Data'!M178)</f>
        <v>Premium</v>
      </c>
    </row>
    <row r="179" spans="1:17" ht="16.5" customHeight="1" x14ac:dyDescent="0.45">
      <c r="A179" s="25" t="str">
        <f>'1. Raw Data'!A179</f>
        <v>TXN-100177</v>
      </c>
      <c r="B179" s="26">
        <f>IFERROR(DATEVALUE('1. Raw Data'!B179),"")</f>
        <v>45313</v>
      </c>
      <c r="C179" s="27" t="str">
        <f t="shared" si="8"/>
        <v>Jan</v>
      </c>
      <c r="D179" s="27" t="str">
        <f t="shared" si="9"/>
        <v>Q1</v>
      </c>
      <c r="E179" s="28">
        <f t="shared" si="10"/>
        <v>2024</v>
      </c>
      <c r="F179" s="25" t="str">
        <f>PROPER(TRIM('1. Raw Data'!C179))</f>
        <v>Westside</v>
      </c>
      <c r="G179" s="25" t="str">
        <f>TRIM('1. Raw Data'!D179)</f>
        <v>Credit Card</v>
      </c>
      <c r="H179" s="25" t="str">
        <f>TRIM('1. Raw Data'!E179)</f>
        <v>Cards</v>
      </c>
      <c r="I179" s="25" t="str">
        <f>TRIM('1. Raw Data'!F179)</f>
        <v>Sarah Chen</v>
      </c>
      <c r="J179" s="27" t="str">
        <f>PROPER(TRIM('1. Raw Data'!G179))</f>
        <v>Pending</v>
      </c>
      <c r="K179" s="27" t="str">
        <f>TRIM('1. Raw Data'!H179)</f>
        <v>Medium</v>
      </c>
      <c r="L179" s="29">
        <f>IFERROR(IF('1. Raw Data'!I179="",AVERAGE(IF('1. Raw Data'!I3:I402&lt;&gt;"",'1. Raw Data'!I3:I402)),VALUE('1. Raw Data'!I179)),0)</f>
        <v>234890.77</v>
      </c>
      <c r="M179" s="30">
        <f>IFERROR(IF('1. Raw Data'!J179="",AVERAGE(IF('1. Raw Data'!J3:J402&lt;&gt;"",'1. Raw Data'!J3:J402)),VALUE('1. Raw Data'!J179)),0)</f>
        <v>5</v>
      </c>
      <c r="N179" s="28">
        <f>'1. Raw Data'!K179</f>
        <v>360</v>
      </c>
      <c r="O179" s="29">
        <f t="shared" si="11"/>
        <v>1260.9444438197083</v>
      </c>
      <c r="P179" s="28">
        <f>'1. Raw Data'!L179</f>
        <v>71</v>
      </c>
      <c r="Q179" s="27" t="str">
        <f>TRIM('1. Raw Data'!M179)</f>
        <v>Premium</v>
      </c>
    </row>
    <row r="180" spans="1:17" ht="16.5" customHeight="1" x14ac:dyDescent="0.45">
      <c r="A180" s="31" t="str">
        <f>'1. Raw Data'!A180</f>
        <v>TXN-100178</v>
      </c>
      <c r="B180" s="32">
        <f>IFERROR(DATEVALUE('1. Raw Data'!B180),"")</f>
        <v>45479</v>
      </c>
      <c r="C180" s="33" t="str">
        <f t="shared" si="8"/>
        <v>Jul</v>
      </c>
      <c r="D180" s="33" t="str">
        <f t="shared" si="9"/>
        <v>Q3</v>
      </c>
      <c r="E180" s="34">
        <f t="shared" si="10"/>
        <v>2024</v>
      </c>
      <c r="F180" s="31" t="str">
        <f>PROPER(TRIM('1. Raw Data'!C180))</f>
        <v>Eastgate</v>
      </c>
      <c r="G180" s="31" t="str">
        <f>TRIM('1. Raw Data'!D180)</f>
        <v>Checking Account</v>
      </c>
      <c r="H180" s="31" t="str">
        <f>TRIM('1. Raw Data'!E180)</f>
        <v>Deposits</v>
      </c>
      <c r="I180" s="31" t="str">
        <f>TRIM('1. Raw Data'!F180)</f>
        <v>Sarah Chen</v>
      </c>
      <c r="J180" s="33" t="str">
        <f>PROPER(TRIM('1. Raw Data'!G180))</f>
        <v>Active</v>
      </c>
      <c r="K180" s="33" t="str">
        <f>TRIM('1. Raw Data'!H180)</f>
        <v>High</v>
      </c>
      <c r="L180" s="35">
        <f>IFERROR(IF('1. Raw Data'!I180="",AVERAGE(IF('1. Raw Data'!I3:I402&lt;&gt;"",'1. Raw Data'!I3:I402)),VALUE('1. Raw Data'!I180)),0)</f>
        <v>235562.46</v>
      </c>
      <c r="M180" s="36">
        <f>IFERROR(IF('1. Raw Data'!J180="",AVERAGE(IF('1. Raw Data'!J3:J402&lt;&gt;"",'1. Raw Data'!J3:J402)),VALUE('1. Raw Data'!J180)),0)</f>
        <v>9.94</v>
      </c>
      <c r="N180" s="34">
        <f>'1. Raw Data'!K180</f>
        <v>48</v>
      </c>
      <c r="O180" s="35">
        <f t="shared" si="11"/>
        <v>5967.6871865187422</v>
      </c>
      <c r="P180" s="34">
        <f>'1. Raw Data'!L180</f>
        <v>68</v>
      </c>
      <c r="Q180" s="33" t="str">
        <f>TRIM('1. Raw Data'!M180)</f>
        <v>Premium</v>
      </c>
    </row>
    <row r="181" spans="1:17" ht="16.5" customHeight="1" x14ac:dyDescent="0.45">
      <c r="A181" s="25" t="str">
        <f>'1. Raw Data'!A181</f>
        <v>TXN-100179</v>
      </c>
      <c r="B181" s="26">
        <f>IFERROR(DATEVALUE('1. Raw Data'!B181),"")</f>
        <v>45407</v>
      </c>
      <c r="C181" s="27" t="str">
        <f t="shared" si="8"/>
        <v>Apr</v>
      </c>
      <c r="D181" s="27" t="str">
        <f t="shared" si="9"/>
        <v>Q2</v>
      </c>
      <c r="E181" s="28">
        <f t="shared" si="10"/>
        <v>2024</v>
      </c>
      <c r="F181" s="25" t="str">
        <f>PROPER(TRIM('1. Raw Data'!C181))</f>
        <v>Downtown</v>
      </c>
      <c r="G181" s="25" t="str">
        <f>TRIM('1. Raw Data'!D181)</f>
        <v>Checking Account</v>
      </c>
      <c r="H181" s="25" t="str">
        <f>TRIM('1. Raw Data'!E181)</f>
        <v>Deposits</v>
      </c>
      <c r="I181" s="25" t="str">
        <f>TRIM('1. Raw Data'!F181)</f>
        <v>David Kim</v>
      </c>
      <c r="J181" s="27" t="str">
        <f>PROPER(TRIM('1. Raw Data'!G181))</f>
        <v>Active</v>
      </c>
      <c r="K181" s="27" t="str">
        <f>TRIM('1. Raw Data'!H181)</f>
        <v>Low</v>
      </c>
      <c r="L181" s="29">
        <f>IFERROR(IF('1. Raw Data'!I181="",AVERAGE(IF('1. Raw Data'!I3:I402&lt;&gt;"",'1. Raw Data'!I3:I402)),VALUE('1. Raw Data'!I181)),0)</f>
        <v>20412.689999999999</v>
      </c>
      <c r="M181" s="30">
        <f>IFERROR(IF('1. Raw Data'!J181="",AVERAGE(IF('1. Raw Data'!J3:J402&lt;&gt;"",'1. Raw Data'!J3:J402)),VALUE('1. Raw Data'!J181)),0)</f>
        <v>12.88</v>
      </c>
      <c r="N181" s="28">
        <f>'1. Raw Data'!K181</f>
        <v>60</v>
      </c>
      <c r="O181" s="29">
        <f t="shared" si="11"/>
        <v>463.19845506881308</v>
      </c>
      <c r="P181" s="28">
        <f>'1. Raw Data'!L181</f>
        <v>31</v>
      </c>
      <c r="Q181" s="27" t="str">
        <f>TRIM('1. Raw Data'!M181)</f>
        <v>Basic</v>
      </c>
    </row>
    <row r="182" spans="1:17" ht="16.5" customHeight="1" x14ac:dyDescent="0.45">
      <c r="A182" s="31" t="str">
        <f>'1. Raw Data'!A182</f>
        <v>TXN-100180</v>
      </c>
      <c r="B182" s="32">
        <f>IFERROR(DATEVALUE('1. Raw Data'!B182),"")</f>
        <v>45549</v>
      </c>
      <c r="C182" s="33" t="str">
        <f t="shared" si="8"/>
        <v>Sep</v>
      </c>
      <c r="D182" s="33" t="str">
        <f t="shared" si="9"/>
        <v>Q3</v>
      </c>
      <c r="E182" s="34">
        <f t="shared" si="10"/>
        <v>2024</v>
      </c>
      <c r="F182" s="31" t="str">
        <f>PROPER(TRIM('1. Raw Data'!C182))</f>
        <v>Northpark</v>
      </c>
      <c r="G182" s="31" t="str">
        <f>TRIM('1. Raw Data'!D182)</f>
        <v>Credit Card</v>
      </c>
      <c r="H182" s="31" t="str">
        <f>TRIM('1. Raw Data'!E182)</f>
        <v>Cards</v>
      </c>
      <c r="I182" s="31" t="str">
        <f>TRIM('1. Raw Data'!F182)</f>
        <v>James Patel</v>
      </c>
      <c r="J182" s="33" t="str">
        <f>PROPER(TRIM('1. Raw Data'!G182))</f>
        <v>Active</v>
      </c>
      <c r="K182" s="33" t="str">
        <f>TRIM('1. Raw Data'!H182)</f>
        <v>Medium</v>
      </c>
      <c r="L182" s="35">
        <f>IFERROR(IF('1. Raw Data'!I182="",AVERAGE(IF('1. Raw Data'!I3:I402&lt;&gt;"",'1. Raw Data'!I3:I402)),VALUE('1. Raw Data'!I182)),0)</f>
        <v>43101.71</v>
      </c>
      <c r="M182" s="36">
        <f>IFERROR(IF('1. Raw Data'!J182="",AVERAGE(IF('1. Raw Data'!J3:J402&lt;&gt;"",'1. Raw Data'!J3:J402)),VALUE('1. Raw Data'!J182)),0)</f>
        <v>12.13</v>
      </c>
      <c r="N182" s="34">
        <f>'1. Raw Data'!K182</f>
        <v>24</v>
      </c>
      <c r="O182" s="35">
        <f t="shared" si="11"/>
        <v>2031.5648043098847</v>
      </c>
      <c r="P182" s="34">
        <f>'1. Raw Data'!L182</f>
        <v>34</v>
      </c>
      <c r="Q182" s="33" t="str">
        <f>TRIM('1. Raw Data'!M182)</f>
        <v>Standard</v>
      </c>
    </row>
    <row r="183" spans="1:17" ht="16.5" customHeight="1" x14ac:dyDescent="0.45">
      <c r="A183" s="25" t="str">
        <f>'1. Raw Data'!A183</f>
        <v>TXN-100181</v>
      </c>
      <c r="B183" s="26">
        <f>IFERROR(DATEVALUE('1. Raw Data'!B183),"")</f>
        <v>45642</v>
      </c>
      <c r="C183" s="27" t="str">
        <f t="shared" si="8"/>
        <v>Dec</v>
      </c>
      <c r="D183" s="27" t="str">
        <f t="shared" si="9"/>
        <v>Q4</v>
      </c>
      <c r="E183" s="28">
        <f t="shared" si="10"/>
        <v>2024</v>
      </c>
      <c r="F183" s="25" t="str">
        <f>PROPER(TRIM('1. Raw Data'!C183))</f>
        <v>Eastgate</v>
      </c>
      <c r="G183" s="25" t="str">
        <f>TRIM('1. Raw Data'!D183)</f>
        <v>Fixed Deposit</v>
      </c>
      <c r="H183" s="25" t="str">
        <f>TRIM('1. Raw Data'!E183)</f>
        <v>Deposits</v>
      </c>
      <c r="I183" s="25" t="str">
        <f>TRIM('1. Raw Data'!F183)</f>
        <v>Maria Lopez</v>
      </c>
      <c r="J183" s="27" t="str">
        <f>PROPER(TRIM('1. Raw Data'!G183))</f>
        <v>Active</v>
      </c>
      <c r="K183" s="27" t="str">
        <f>TRIM('1. Raw Data'!H183)</f>
        <v>Low</v>
      </c>
      <c r="L183" s="29">
        <f>IFERROR(IF('1. Raw Data'!I183="",AVERAGE(IF('1. Raw Data'!I3:I402&lt;&gt;"",'1. Raw Data'!I3:I402)),VALUE('1. Raw Data'!I183)),0)</f>
        <v>234206.4</v>
      </c>
      <c r="M183" s="30">
        <f>IFERROR(IF('1. Raw Data'!J183="",AVERAGE(IF('1. Raw Data'!J3:J402&lt;&gt;"",'1. Raw Data'!J3:J402)),VALUE('1. Raw Data'!J183)),0)</f>
        <v>7.76</v>
      </c>
      <c r="N183" s="28">
        <f>'1. Raw Data'!K183</f>
        <v>12</v>
      </c>
      <c r="O183" s="29">
        <f t="shared" si="11"/>
        <v>20347.266664984887</v>
      </c>
      <c r="P183" s="28">
        <f>'1. Raw Data'!L183</f>
        <v>24</v>
      </c>
      <c r="Q183" s="27" t="str">
        <f>TRIM('1. Raw Data'!M183)</f>
        <v>Premium</v>
      </c>
    </row>
    <row r="184" spans="1:17" ht="16.5" customHeight="1" x14ac:dyDescent="0.45">
      <c r="A184" s="31" t="str">
        <f>'1. Raw Data'!A184</f>
        <v>TXN-100182</v>
      </c>
      <c r="B184" s="32">
        <f>IFERROR(DATEVALUE('1. Raw Data'!B184),"")</f>
        <v>45592</v>
      </c>
      <c r="C184" s="33" t="str">
        <f t="shared" si="8"/>
        <v>Oct</v>
      </c>
      <c r="D184" s="33" t="str">
        <f t="shared" si="9"/>
        <v>Q4</v>
      </c>
      <c r="E184" s="34">
        <f t="shared" si="10"/>
        <v>2024</v>
      </c>
      <c r="F184" s="31" t="str">
        <f>PROPER(TRIM('1. Raw Data'!C184))</f>
        <v>Uptown</v>
      </c>
      <c r="G184" s="31" t="str">
        <f>TRIM('1. Raw Data'!D184)</f>
        <v>Business Loan</v>
      </c>
      <c r="H184" s="31" t="str">
        <f>TRIM('1. Raw Data'!E184)</f>
        <v>Loans</v>
      </c>
      <c r="I184" s="31" t="str">
        <f>TRIM('1. Raw Data'!F184)</f>
        <v>Maria Lopez</v>
      </c>
      <c r="J184" s="33" t="str">
        <f>PROPER(TRIM('1. Raw Data'!G184))</f>
        <v>Active</v>
      </c>
      <c r="K184" s="33" t="str">
        <f>TRIM('1. Raw Data'!H184)</f>
        <v>High</v>
      </c>
      <c r="L184" s="35">
        <f>IFERROR(IF('1. Raw Data'!I184="",AVERAGE(IF('1. Raw Data'!I3:I402&lt;&gt;"",'1. Raw Data'!I3:I402)),VALUE('1. Raw Data'!I184)),0)</f>
        <v>30979.94</v>
      </c>
      <c r="M184" s="36">
        <f>IFERROR(IF('1. Raw Data'!J184="",AVERAGE(IF('1. Raw Data'!J3:J402&lt;&gt;"",'1. Raw Data'!J3:J402)),VALUE('1. Raw Data'!J184)),0)</f>
        <v>5.41</v>
      </c>
      <c r="N184" s="34">
        <f>'1. Raw Data'!K184</f>
        <v>24</v>
      </c>
      <c r="O184" s="35">
        <f t="shared" si="11"/>
        <v>1364.8286124207148</v>
      </c>
      <c r="P184" s="34">
        <f>'1. Raw Data'!L184</f>
        <v>32</v>
      </c>
      <c r="Q184" s="33" t="str">
        <f>TRIM('1. Raw Data'!M184)</f>
        <v>Standard</v>
      </c>
    </row>
    <row r="185" spans="1:17" ht="16.5" customHeight="1" x14ac:dyDescent="0.45">
      <c r="A185" s="25" t="str">
        <f>'1. Raw Data'!A185</f>
        <v>TXN-100183</v>
      </c>
      <c r="B185" s="26">
        <f>IFERROR(DATEVALUE('1. Raw Data'!B185),"")</f>
        <v>45453</v>
      </c>
      <c r="C185" s="27" t="str">
        <f t="shared" si="8"/>
        <v>Jun</v>
      </c>
      <c r="D185" s="27" t="str">
        <f t="shared" si="9"/>
        <v>Q2</v>
      </c>
      <c r="E185" s="28">
        <f t="shared" si="10"/>
        <v>2024</v>
      </c>
      <c r="F185" s="25" t="str">
        <f>PROPER(TRIM('1. Raw Data'!C185))</f>
        <v>Westside</v>
      </c>
      <c r="G185" s="25" t="str">
        <f>TRIM('1. Raw Data'!D185)</f>
        <v>Auto Loan</v>
      </c>
      <c r="H185" s="25" t="str">
        <f>TRIM('1. Raw Data'!E185)</f>
        <v>Loans</v>
      </c>
      <c r="I185" s="25" t="str">
        <f>TRIM('1. Raw Data'!F185)</f>
        <v>James Patel</v>
      </c>
      <c r="J185" s="27" t="str">
        <f>PROPER(TRIM('1. Raw Data'!G185))</f>
        <v>Active</v>
      </c>
      <c r="K185" s="27" t="str">
        <f>TRIM('1. Raw Data'!H185)</f>
        <v>High</v>
      </c>
      <c r="L185" s="29">
        <f>IFERROR(IF('1. Raw Data'!I185="",AVERAGE(IF('1. Raw Data'!I3:I402&lt;&gt;"",'1. Raw Data'!I3:I402)),VALUE('1. Raw Data'!I185)),0)</f>
        <v>5724.53</v>
      </c>
      <c r="M185" s="30">
        <f>IFERROR(IF('1. Raw Data'!J185="",AVERAGE(IF('1. Raw Data'!J3:J402&lt;&gt;"",'1. Raw Data'!J3:J402)),VALUE('1. Raw Data'!J185)),0)</f>
        <v>13.69</v>
      </c>
      <c r="N185" s="28">
        <f>'1. Raw Data'!K185</f>
        <v>180</v>
      </c>
      <c r="O185" s="29">
        <f t="shared" si="11"/>
        <v>75.047382861674123</v>
      </c>
      <c r="P185" s="28">
        <f>'1. Raw Data'!L185</f>
        <v>74</v>
      </c>
      <c r="Q185" s="27" t="str">
        <f>TRIM('1. Raw Data'!M185)</f>
        <v>Basic</v>
      </c>
    </row>
    <row r="186" spans="1:17" ht="16.5" customHeight="1" x14ac:dyDescent="0.45">
      <c r="A186" s="31" t="str">
        <f>'1. Raw Data'!A186</f>
        <v>TXN-100184</v>
      </c>
      <c r="B186" s="32">
        <f>IFERROR(DATEVALUE('1. Raw Data'!B186),"")</f>
        <v>45315</v>
      </c>
      <c r="C186" s="33" t="str">
        <f t="shared" si="8"/>
        <v>Jan</v>
      </c>
      <c r="D186" s="33" t="str">
        <f t="shared" si="9"/>
        <v>Q1</v>
      </c>
      <c r="E186" s="34">
        <f t="shared" si="10"/>
        <v>2024</v>
      </c>
      <c r="F186" s="31" t="str">
        <f>PROPER(TRIM('1. Raw Data'!C186))</f>
        <v>Downtown</v>
      </c>
      <c r="G186" s="31" t="str">
        <f>TRIM('1. Raw Data'!D186)</f>
        <v>Business Loan</v>
      </c>
      <c r="H186" s="31" t="str">
        <f>TRIM('1. Raw Data'!E186)</f>
        <v>Loans</v>
      </c>
      <c r="I186" s="31" t="str">
        <f>TRIM('1. Raw Data'!F186)</f>
        <v>Maria Lopez</v>
      </c>
      <c r="J186" s="33" t="str">
        <f>PROPER(TRIM('1. Raw Data'!G186))</f>
        <v>Active</v>
      </c>
      <c r="K186" s="33" t="str">
        <f>TRIM('1. Raw Data'!H186)</f>
        <v>Medium</v>
      </c>
      <c r="L186" s="35">
        <f>IFERROR(IF('1. Raw Data'!I186="",AVERAGE(IF('1. Raw Data'!I3:I402&lt;&gt;"",'1. Raw Data'!I3:I402)),VALUE('1. Raw Data'!I186)),0)</f>
        <v>97453.81</v>
      </c>
      <c r="M186" s="36">
        <f>IFERROR(IF('1. Raw Data'!J186="",AVERAGE(IF('1. Raw Data'!J3:J402&lt;&gt;"",'1. Raw Data'!J3:J402)),VALUE('1. Raw Data'!J186)),0)</f>
        <v>7.25</v>
      </c>
      <c r="N186" s="34">
        <f>'1. Raw Data'!K186</f>
        <v>60</v>
      </c>
      <c r="O186" s="35">
        <f t="shared" si="11"/>
        <v>1941.2176565856853</v>
      </c>
      <c r="P186" s="34">
        <f>'1. Raw Data'!L186</f>
        <v>49</v>
      </c>
      <c r="Q186" s="33" t="str">
        <f>TRIM('1. Raw Data'!M186)</f>
        <v>Standard</v>
      </c>
    </row>
    <row r="187" spans="1:17" ht="16.5" customHeight="1" x14ac:dyDescent="0.45">
      <c r="A187" s="25" t="str">
        <f>'1. Raw Data'!A187</f>
        <v>TXN-100185</v>
      </c>
      <c r="B187" s="26">
        <f>IFERROR(DATEVALUE('1. Raw Data'!B187),"")</f>
        <v>45407</v>
      </c>
      <c r="C187" s="27" t="str">
        <f t="shared" si="8"/>
        <v>Apr</v>
      </c>
      <c r="D187" s="27" t="str">
        <f t="shared" si="9"/>
        <v>Q2</v>
      </c>
      <c r="E187" s="28">
        <f t="shared" si="10"/>
        <v>2024</v>
      </c>
      <c r="F187" s="25" t="str">
        <f>PROPER(TRIM('1. Raw Data'!C187))</f>
        <v>Westside</v>
      </c>
      <c r="G187" s="25" t="str">
        <f>TRIM('1. Raw Data'!D187)</f>
        <v>Savings Account</v>
      </c>
      <c r="H187" s="25" t="str">
        <f>TRIM('1. Raw Data'!E187)</f>
        <v>Deposits</v>
      </c>
      <c r="I187" s="25" t="str">
        <f>TRIM('1. Raw Data'!F187)</f>
        <v>Sarah Chen</v>
      </c>
      <c r="J187" s="27" t="str">
        <f>PROPER(TRIM('1. Raw Data'!G187))</f>
        <v>Active</v>
      </c>
      <c r="K187" s="27" t="str">
        <f>TRIM('1. Raw Data'!H187)</f>
        <v>Low</v>
      </c>
      <c r="L187" s="29">
        <f>IFERROR(IF('1. Raw Data'!I187="",AVERAGE(IF('1. Raw Data'!I3:I402&lt;&gt;"",'1. Raw Data'!I3:I402)),VALUE('1. Raw Data'!I187)),0)</f>
        <v>14919.47</v>
      </c>
      <c r="M187" s="30">
        <f>IFERROR(IF('1. Raw Data'!J187="",AVERAGE(IF('1. Raw Data'!J3:J402&lt;&gt;"",'1. Raw Data'!J3:J402)),VALUE('1. Raw Data'!J187)),0)</f>
        <v>7.07</v>
      </c>
      <c r="N187" s="28">
        <f>'1. Raw Data'!K187</f>
        <v>180</v>
      </c>
      <c r="O187" s="29">
        <f t="shared" si="11"/>
        <v>134.6849676727297</v>
      </c>
      <c r="P187" s="28">
        <f>'1. Raw Data'!L187</f>
        <v>49</v>
      </c>
      <c r="Q187" s="27" t="str">
        <f>TRIM('1. Raw Data'!M187)</f>
        <v>Basic</v>
      </c>
    </row>
    <row r="188" spans="1:17" ht="16.5" customHeight="1" x14ac:dyDescent="0.45">
      <c r="A188" s="31" t="str">
        <f>'1. Raw Data'!A188</f>
        <v>TXN-100186</v>
      </c>
      <c r="B188" s="32">
        <f>IFERROR(DATEVALUE('1. Raw Data'!B188),"")</f>
        <v>45590</v>
      </c>
      <c r="C188" s="33" t="str">
        <f t="shared" si="8"/>
        <v>Oct</v>
      </c>
      <c r="D188" s="33" t="str">
        <f t="shared" si="9"/>
        <v>Q4</v>
      </c>
      <c r="E188" s="34">
        <f t="shared" si="10"/>
        <v>2024</v>
      </c>
      <c r="F188" s="31" t="str">
        <f>PROPER(TRIM('1. Raw Data'!C188))</f>
        <v>Eastgate</v>
      </c>
      <c r="G188" s="31" t="str">
        <f>TRIM('1. Raw Data'!D188)</f>
        <v>Mortgage</v>
      </c>
      <c r="H188" s="31" t="str">
        <f>TRIM('1. Raw Data'!E188)</f>
        <v>Loans</v>
      </c>
      <c r="I188" s="31" t="str">
        <f>TRIM('1. Raw Data'!F188)</f>
        <v>James Patel</v>
      </c>
      <c r="J188" s="33" t="str">
        <f>PROPER(TRIM('1. Raw Data'!G188))</f>
        <v>Inactive</v>
      </c>
      <c r="K188" s="33" t="str">
        <f>TRIM('1. Raw Data'!H188)</f>
        <v>Low</v>
      </c>
      <c r="L188" s="35">
        <f>IFERROR(IF('1. Raw Data'!I188="",AVERAGE(IF('1. Raw Data'!I3:I402&lt;&gt;"",'1. Raw Data'!I3:I402)),VALUE('1. Raw Data'!I188)),0)</f>
        <v>208722.9</v>
      </c>
      <c r="M188" s="36">
        <f>IFERROR(IF('1. Raw Data'!J188="",AVERAGE(IF('1. Raw Data'!J3:J402&lt;&gt;"",'1. Raw Data'!J3:J402)),VALUE('1. Raw Data'!J188)),0)</f>
        <v>13.68</v>
      </c>
      <c r="N188" s="34">
        <f>'1. Raw Data'!K188</f>
        <v>120</v>
      </c>
      <c r="O188" s="35">
        <f t="shared" si="11"/>
        <v>3200.727838996208</v>
      </c>
      <c r="P188" s="34">
        <f>'1. Raw Data'!L188</f>
        <v>30</v>
      </c>
      <c r="Q188" s="33" t="str">
        <f>TRIM('1. Raw Data'!M188)</f>
        <v>Premium</v>
      </c>
    </row>
    <row r="189" spans="1:17" ht="16.5" customHeight="1" x14ac:dyDescent="0.45">
      <c r="A189" s="25" t="str">
        <f>'1. Raw Data'!A189</f>
        <v>TXN-100187</v>
      </c>
      <c r="B189" s="26">
        <f>IFERROR(DATEVALUE('1. Raw Data'!B189),"")</f>
        <v>45319</v>
      </c>
      <c r="C189" s="27" t="str">
        <f t="shared" si="8"/>
        <v>Jan</v>
      </c>
      <c r="D189" s="27" t="str">
        <f t="shared" si="9"/>
        <v>Q1</v>
      </c>
      <c r="E189" s="28">
        <f t="shared" si="10"/>
        <v>2024</v>
      </c>
      <c r="F189" s="25" t="str">
        <f>PROPER(TRIM('1. Raw Data'!C189))</f>
        <v>Northpark</v>
      </c>
      <c r="G189" s="25" t="str">
        <f>TRIM('1. Raw Data'!D189)</f>
        <v>Credit Card</v>
      </c>
      <c r="H189" s="25" t="str">
        <f>TRIM('1. Raw Data'!E189)</f>
        <v>Cards</v>
      </c>
      <c r="I189" s="25" t="str">
        <f>TRIM('1. Raw Data'!F189)</f>
        <v>Maria Lopez</v>
      </c>
      <c r="J189" s="27" t="str">
        <f>PROPER(TRIM('1. Raw Data'!G189))</f>
        <v>Active</v>
      </c>
      <c r="K189" s="27" t="str">
        <f>TRIM('1. Raw Data'!H189)</f>
        <v>High</v>
      </c>
      <c r="L189" s="29">
        <f>IFERROR(IF('1. Raw Data'!I189="",AVERAGE(IF('1. Raw Data'!I3:I402&lt;&gt;"",'1. Raw Data'!I3:I402)),VALUE('1. Raw Data'!I189)),0)</f>
        <v>3572.87</v>
      </c>
      <c r="M189" s="30">
        <f>IFERROR(IF('1. Raw Data'!J189="",AVERAGE(IF('1. Raw Data'!J3:J402&lt;&gt;"",'1. Raw Data'!J3:J402)),VALUE('1. Raw Data'!J189)),0)</f>
        <v>2.57</v>
      </c>
      <c r="N189" s="28">
        <f>'1. Raw Data'!K189</f>
        <v>60</v>
      </c>
      <c r="O189" s="29">
        <f t="shared" si="11"/>
        <v>63.519353665702411</v>
      </c>
      <c r="P189" s="28">
        <f>'1. Raw Data'!L189</f>
        <v>58</v>
      </c>
      <c r="Q189" s="27" t="str">
        <f>TRIM('1. Raw Data'!M189)</f>
        <v>Basic</v>
      </c>
    </row>
    <row r="190" spans="1:17" ht="16.5" customHeight="1" x14ac:dyDescent="0.45">
      <c r="A190" s="31" t="str">
        <f>'1. Raw Data'!A190</f>
        <v>TXN-100188</v>
      </c>
      <c r="B190" s="32">
        <f>IFERROR(DATEVALUE('1. Raw Data'!B190),"")</f>
        <v>45484</v>
      </c>
      <c r="C190" s="33" t="str">
        <f t="shared" si="8"/>
        <v>Jul</v>
      </c>
      <c r="D190" s="33" t="str">
        <f t="shared" si="9"/>
        <v>Q3</v>
      </c>
      <c r="E190" s="34">
        <f t="shared" si="10"/>
        <v>2024</v>
      </c>
      <c r="F190" s="31" t="str">
        <f>PROPER(TRIM('1. Raw Data'!C190))</f>
        <v>Eastgate</v>
      </c>
      <c r="G190" s="31" t="str">
        <f>TRIM('1. Raw Data'!D190)</f>
        <v>Mortgage</v>
      </c>
      <c r="H190" s="31" t="str">
        <f>TRIM('1. Raw Data'!E190)</f>
        <v>Loans</v>
      </c>
      <c r="I190" s="31" t="str">
        <f>TRIM('1. Raw Data'!F190)</f>
        <v>Rachel Moore</v>
      </c>
      <c r="J190" s="33" t="str">
        <f>PROPER(TRIM('1. Raw Data'!G190))</f>
        <v>Active</v>
      </c>
      <c r="K190" s="33" t="str">
        <f>TRIM('1. Raw Data'!H190)</f>
        <v>Medium</v>
      </c>
      <c r="L190" s="35">
        <f>IFERROR(IF('1. Raw Data'!I190="",AVERAGE(IF('1. Raw Data'!I3:I402&lt;&gt;"",'1. Raw Data'!I3:I402)),VALUE('1. Raw Data'!I190)),0)</f>
        <v>23375.73</v>
      </c>
      <c r="M190" s="36">
        <f>IFERROR(IF('1. Raw Data'!J190="",AVERAGE(IF('1. Raw Data'!J3:J402&lt;&gt;"",'1. Raw Data'!J3:J402)),VALUE('1. Raw Data'!J190)),0)</f>
        <v>13.58</v>
      </c>
      <c r="N190" s="34">
        <f>'1. Raw Data'!K190</f>
        <v>12</v>
      </c>
      <c r="O190" s="35">
        <f t="shared" si="11"/>
        <v>2094.2227473685907</v>
      </c>
      <c r="P190" s="34">
        <f>'1. Raw Data'!L190</f>
        <v>74</v>
      </c>
      <c r="Q190" s="33" t="str">
        <f>TRIM('1. Raw Data'!M190)</f>
        <v>Basic</v>
      </c>
    </row>
    <row r="191" spans="1:17" ht="16.5" customHeight="1" x14ac:dyDescent="0.45">
      <c r="A191" s="25" t="str">
        <f>'1. Raw Data'!A191</f>
        <v>TXN-100189</v>
      </c>
      <c r="B191" s="26">
        <f>IFERROR(DATEVALUE('1. Raw Data'!B191),"")</f>
        <v>45630</v>
      </c>
      <c r="C191" s="27" t="str">
        <f t="shared" si="8"/>
        <v>Dec</v>
      </c>
      <c r="D191" s="27" t="str">
        <f t="shared" si="9"/>
        <v>Q4</v>
      </c>
      <c r="E191" s="28">
        <f t="shared" si="10"/>
        <v>2024</v>
      </c>
      <c r="F191" s="25" t="str">
        <f>PROPER(TRIM('1. Raw Data'!C191))</f>
        <v>Uptown</v>
      </c>
      <c r="G191" s="25" t="str">
        <f>TRIM('1. Raw Data'!D191)</f>
        <v>Business Loan</v>
      </c>
      <c r="H191" s="25" t="str">
        <f>TRIM('1. Raw Data'!E191)</f>
        <v>Loans</v>
      </c>
      <c r="I191" s="25" t="str">
        <f>TRIM('1. Raw Data'!F191)</f>
        <v>Maria Lopez</v>
      </c>
      <c r="J191" s="27" t="str">
        <f>PROPER(TRIM('1. Raw Data'!G191))</f>
        <v>Active</v>
      </c>
      <c r="K191" s="27" t="str">
        <f>TRIM('1. Raw Data'!H191)</f>
        <v>Low</v>
      </c>
      <c r="L191" s="29">
        <f>IFERROR(IF('1. Raw Data'!I191="",AVERAGE(IF('1. Raw Data'!I3:I402&lt;&gt;"",'1. Raw Data'!I3:I402)),VALUE('1. Raw Data'!I191)),0)</f>
        <v>85051.44</v>
      </c>
      <c r="M191" s="30">
        <f>IFERROR(IF('1. Raw Data'!J191="",AVERAGE(IF('1. Raw Data'!J3:J402&lt;&gt;"",'1. Raw Data'!J3:J402)),VALUE('1. Raw Data'!J191)),0)</f>
        <v>10.8</v>
      </c>
      <c r="N191" s="28">
        <f>'1. Raw Data'!K191</f>
        <v>240</v>
      </c>
      <c r="O191" s="29">
        <f t="shared" si="11"/>
        <v>866.34424300051717</v>
      </c>
      <c r="P191" s="28">
        <f>'1. Raw Data'!L191</f>
        <v>27</v>
      </c>
      <c r="Q191" s="27" t="str">
        <f>TRIM('1. Raw Data'!M191)</f>
        <v>Standard</v>
      </c>
    </row>
    <row r="192" spans="1:17" ht="16.5" customHeight="1" x14ac:dyDescent="0.45">
      <c r="A192" s="31" t="str">
        <f>'1. Raw Data'!A192</f>
        <v>TXN-100190</v>
      </c>
      <c r="B192" s="32">
        <f>IFERROR(DATEVALUE('1. Raw Data'!B192),"")</f>
        <v>45493</v>
      </c>
      <c r="C192" s="33" t="str">
        <f t="shared" si="8"/>
        <v>Jul</v>
      </c>
      <c r="D192" s="33" t="str">
        <f t="shared" si="9"/>
        <v>Q3</v>
      </c>
      <c r="E192" s="34">
        <f t="shared" si="10"/>
        <v>2024</v>
      </c>
      <c r="F192" s="31" t="str">
        <f>PROPER(TRIM('1. Raw Data'!C192))</f>
        <v>Eastgate</v>
      </c>
      <c r="G192" s="31" t="str">
        <f>TRIM('1. Raw Data'!D192)</f>
        <v>Fixed Deposit</v>
      </c>
      <c r="H192" s="31" t="str">
        <f>TRIM('1. Raw Data'!E192)</f>
        <v>Deposits</v>
      </c>
      <c r="I192" s="31" t="str">
        <f>TRIM('1. Raw Data'!F192)</f>
        <v>Rachel Moore</v>
      </c>
      <c r="J192" s="33" t="str">
        <f>PROPER(TRIM('1. Raw Data'!G192))</f>
        <v>Active</v>
      </c>
      <c r="K192" s="33" t="str">
        <f>TRIM('1. Raw Data'!H192)</f>
        <v>High</v>
      </c>
      <c r="L192" s="35">
        <f>IFERROR(IF('1. Raw Data'!I192="",AVERAGE(IF('1. Raw Data'!I3:I402&lt;&gt;"",'1. Raw Data'!I3:I402)),VALUE('1. Raw Data'!I192)),0)</f>
        <v>193398.94</v>
      </c>
      <c r="M192" s="36">
        <f>IFERROR(IF('1. Raw Data'!J192="",AVERAGE(IF('1. Raw Data'!J3:J402&lt;&gt;"",'1. Raw Data'!J3:J402)),VALUE('1. Raw Data'!J192)),0)</f>
        <v>3.84</v>
      </c>
      <c r="N192" s="34">
        <f>'1. Raw Data'!K192</f>
        <v>240</v>
      </c>
      <c r="O192" s="35">
        <f t="shared" si="11"/>
        <v>1155.7185696273898</v>
      </c>
      <c r="P192" s="34">
        <f>'1. Raw Data'!L192</f>
        <v>55</v>
      </c>
      <c r="Q192" s="33" t="str">
        <f>TRIM('1. Raw Data'!M192)</f>
        <v>Premium</v>
      </c>
    </row>
    <row r="193" spans="1:17" ht="16.5" customHeight="1" x14ac:dyDescent="0.45">
      <c r="A193" s="25" t="str">
        <f>'1. Raw Data'!A193</f>
        <v>TXN-100191</v>
      </c>
      <c r="B193" s="26">
        <f>IFERROR(DATEVALUE('1. Raw Data'!B193),"")</f>
        <v>45298</v>
      </c>
      <c r="C193" s="27" t="str">
        <f t="shared" si="8"/>
        <v>Jan</v>
      </c>
      <c r="D193" s="27" t="str">
        <f t="shared" si="9"/>
        <v>Q1</v>
      </c>
      <c r="E193" s="28">
        <f t="shared" si="10"/>
        <v>2024</v>
      </c>
      <c r="F193" s="25" t="str">
        <f>PROPER(TRIM('1. Raw Data'!C193))</f>
        <v>Downtown</v>
      </c>
      <c r="G193" s="25" t="str">
        <f>TRIM('1. Raw Data'!D193)</f>
        <v>Fixed Deposit</v>
      </c>
      <c r="H193" s="25" t="str">
        <f>TRIM('1. Raw Data'!E193)</f>
        <v>Deposits</v>
      </c>
      <c r="I193" s="25" t="str">
        <f>TRIM('1. Raw Data'!F193)</f>
        <v>David Kim</v>
      </c>
      <c r="J193" s="27" t="str">
        <f>PROPER(TRIM('1. Raw Data'!G193))</f>
        <v>Pending</v>
      </c>
      <c r="K193" s="27" t="str">
        <f>TRIM('1. Raw Data'!H193)</f>
        <v>Medium</v>
      </c>
      <c r="L193" s="29">
        <f>IFERROR(IF('1. Raw Data'!I193="",AVERAGE(IF('1. Raw Data'!I3:I402&lt;&gt;"",'1. Raw Data'!I3:I402)),VALUE('1. Raw Data'!I193)),0)</f>
        <v>91929.89</v>
      </c>
      <c r="M193" s="30">
        <f>IFERROR(IF('1. Raw Data'!J193="",AVERAGE(IF('1. Raw Data'!J3:J402&lt;&gt;"",'1. Raw Data'!J3:J402)),VALUE('1. Raw Data'!J193)),0)</f>
        <v>13.86</v>
      </c>
      <c r="N193" s="28">
        <f>'1. Raw Data'!K193</f>
        <v>120</v>
      </c>
      <c r="O193" s="29">
        <f t="shared" si="11"/>
        <v>1419.6344411442099</v>
      </c>
      <c r="P193" s="28">
        <f>'1. Raw Data'!L193</f>
        <v>57</v>
      </c>
      <c r="Q193" s="27" t="str">
        <f>TRIM('1. Raw Data'!M193)</f>
        <v>Standard</v>
      </c>
    </row>
    <row r="194" spans="1:17" ht="16.5" customHeight="1" x14ac:dyDescent="0.45">
      <c r="A194" s="31" t="str">
        <f>'1. Raw Data'!A194</f>
        <v>TXN-100192</v>
      </c>
      <c r="B194" s="32">
        <f>IFERROR(DATEVALUE('1. Raw Data'!B194),"")</f>
        <v>45355</v>
      </c>
      <c r="C194" s="33" t="str">
        <f t="shared" si="8"/>
        <v>Mar</v>
      </c>
      <c r="D194" s="33" t="str">
        <f t="shared" si="9"/>
        <v>Q1</v>
      </c>
      <c r="E194" s="34">
        <f t="shared" si="10"/>
        <v>2024</v>
      </c>
      <c r="F194" s="31" t="str">
        <f>PROPER(TRIM('1. Raw Data'!C194))</f>
        <v>Eastgate</v>
      </c>
      <c r="G194" s="31" t="str">
        <f>TRIM('1. Raw Data'!D194)</f>
        <v>Credit Card</v>
      </c>
      <c r="H194" s="31" t="str">
        <f>TRIM('1. Raw Data'!E194)</f>
        <v>Cards</v>
      </c>
      <c r="I194" s="31" t="str">
        <f>TRIM('1. Raw Data'!F194)</f>
        <v>James Patel</v>
      </c>
      <c r="J194" s="33" t="str">
        <f>PROPER(TRIM('1. Raw Data'!G194))</f>
        <v>Active</v>
      </c>
      <c r="K194" s="33" t="str">
        <f>TRIM('1. Raw Data'!H194)</f>
        <v>Low</v>
      </c>
      <c r="L194" s="35">
        <f>IFERROR(IF('1. Raw Data'!I194="",AVERAGE(IF('1. Raw Data'!I3:I402&lt;&gt;"",'1. Raw Data'!I3:I402)),VALUE('1. Raw Data'!I194)),0)</f>
        <v>27464.42</v>
      </c>
      <c r="M194" s="36">
        <f>IFERROR(IF('1. Raw Data'!J194="",AVERAGE(IF('1. Raw Data'!J3:J402&lt;&gt;"",'1. Raw Data'!J3:J402)),VALUE('1. Raw Data'!J194)),0)</f>
        <v>13.51</v>
      </c>
      <c r="N194" s="34">
        <f>'1. Raw Data'!K194</f>
        <v>60</v>
      </c>
      <c r="O194" s="35">
        <f t="shared" si="11"/>
        <v>632.09357528661974</v>
      </c>
      <c r="P194" s="34">
        <f>'1. Raw Data'!L194</f>
        <v>60</v>
      </c>
      <c r="Q194" s="33" t="str">
        <f>TRIM('1. Raw Data'!M194)</f>
        <v>Standard</v>
      </c>
    </row>
    <row r="195" spans="1:17" ht="16.5" customHeight="1" x14ac:dyDescent="0.45">
      <c r="A195" s="25" t="str">
        <f>'1. Raw Data'!A195</f>
        <v>TXN-100193</v>
      </c>
      <c r="B195" s="26">
        <f>IFERROR(DATEVALUE('1. Raw Data'!B195),"")</f>
        <v>45464</v>
      </c>
      <c r="C195" s="27" t="str">
        <f t="shared" ref="C195:C258" si="12">IFERROR(TEXT(B195,"mmm"),"")</f>
        <v>Jun</v>
      </c>
      <c r="D195" s="27" t="str">
        <f t="shared" ref="D195:D258" si="13">IFERROR("Q"&amp;INT((MONTH(B195)-1)/3+1),"")</f>
        <v>Q2</v>
      </c>
      <c r="E195" s="28">
        <f t="shared" ref="E195:E258" si="14">IFERROR(YEAR(B195),"")</f>
        <v>2024</v>
      </c>
      <c r="F195" s="25" t="str">
        <f>PROPER(TRIM('1. Raw Data'!C195))</f>
        <v>Northpark</v>
      </c>
      <c r="G195" s="25" t="str">
        <f>TRIM('1. Raw Data'!D195)</f>
        <v>Personal Loan</v>
      </c>
      <c r="H195" s="25" t="str">
        <f>TRIM('1. Raw Data'!E195)</f>
        <v>Loans</v>
      </c>
      <c r="I195" s="25" t="str">
        <f>TRIM('1. Raw Data'!F195)</f>
        <v>Rachel Moore</v>
      </c>
      <c r="J195" s="27" t="str">
        <f>PROPER(TRIM('1. Raw Data'!G195))</f>
        <v>Pending</v>
      </c>
      <c r="K195" s="27" t="str">
        <f>TRIM('1. Raw Data'!H195)</f>
        <v>Medium</v>
      </c>
      <c r="L195" s="29">
        <f>IFERROR(IF('1. Raw Data'!I195="",AVERAGE(IF('1. Raw Data'!I3:I402&lt;&gt;"",'1. Raw Data'!I3:I402)),VALUE('1. Raw Data'!I195)),0)</f>
        <v>36710.230000000003</v>
      </c>
      <c r="M195" s="30">
        <f>IFERROR(IF('1. Raw Data'!J195="",AVERAGE(IF('1. Raw Data'!J3:J402&lt;&gt;"",'1. Raw Data'!J3:J402)),VALUE('1. Raw Data'!J195)),0)</f>
        <v>0</v>
      </c>
      <c r="N195" s="28">
        <f>'1. Raw Data'!K195</f>
        <v>360</v>
      </c>
      <c r="O195" s="29">
        <f t="shared" ref="O195:O258" si="15">IFERROR(IF(M195=0,0,(L195*(M195/100/12))/(1-(1+M195/100/12)^(-N195))),0)</f>
        <v>0</v>
      </c>
      <c r="P195" s="28">
        <f>'1. Raw Data'!L195</f>
        <v>39</v>
      </c>
      <c r="Q195" s="27" t="str">
        <f>TRIM('1. Raw Data'!M195)</f>
        <v>Standard</v>
      </c>
    </row>
    <row r="196" spans="1:17" ht="16.5" customHeight="1" x14ac:dyDescent="0.45">
      <c r="A196" s="31" t="str">
        <f>'1. Raw Data'!A196</f>
        <v>TXN-100194</v>
      </c>
      <c r="B196" s="32">
        <f>IFERROR(DATEVALUE('1. Raw Data'!B196),"")</f>
        <v>45301</v>
      </c>
      <c r="C196" s="33" t="str">
        <f t="shared" si="12"/>
        <v>Jan</v>
      </c>
      <c r="D196" s="33" t="str">
        <f t="shared" si="13"/>
        <v>Q1</v>
      </c>
      <c r="E196" s="34">
        <f t="shared" si="14"/>
        <v>2024</v>
      </c>
      <c r="F196" s="31" t="str">
        <f>PROPER(TRIM('1. Raw Data'!C196))</f>
        <v>Northpark</v>
      </c>
      <c r="G196" s="31" t="str">
        <f>TRIM('1. Raw Data'!D196)</f>
        <v>Personal Loan</v>
      </c>
      <c r="H196" s="31" t="str">
        <f>TRIM('1. Raw Data'!E196)</f>
        <v>Loans</v>
      </c>
      <c r="I196" s="31" t="str">
        <f>TRIM('1. Raw Data'!F196)</f>
        <v>David Kim</v>
      </c>
      <c r="J196" s="33" t="str">
        <f>PROPER(TRIM('1. Raw Data'!G196))</f>
        <v>Inactive</v>
      </c>
      <c r="K196" s="33" t="str">
        <f>TRIM('1. Raw Data'!H196)</f>
        <v>Medium</v>
      </c>
      <c r="L196" s="35">
        <f>IFERROR(IF('1. Raw Data'!I196="",AVERAGE(IF('1. Raw Data'!I3:I402&lt;&gt;"",'1. Raw Data'!I3:I402)),VALUE('1. Raw Data'!I196)),0)</f>
        <v>2680</v>
      </c>
      <c r="M196" s="36">
        <f>IFERROR(IF('1. Raw Data'!J196="",AVERAGE(IF('1. Raw Data'!J3:J402&lt;&gt;"",'1. Raw Data'!J3:J402)),VALUE('1. Raw Data'!J196)),0)</f>
        <v>7.88</v>
      </c>
      <c r="N196" s="34">
        <f>'1. Raw Data'!K196</f>
        <v>12</v>
      </c>
      <c r="O196" s="35">
        <f t="shared" si="15"/>
        <v>232.98031948922016</v>
      </c>
      <c r="P196" s="34">
        <f>'1. Raw Data'!L196</f>
        <v>39</v>
      </c>
      <c r="Q196" s="33" t="str">
        <f>TRIM('1. Raw Data'!M196)</f>
        <v>Basic</v>
      </c>
    </row>
    <row r="197" spans="1:17" ht="16.5" customHeight="1" x14ac:dyDescent="0.45">
      <c r="A197" s="25" t="str">
        <f>'1. Raw Data'!A197</f>
        <v>TXN-100195</v>
      </c>
      <c r="B197" s="26">
        <f>IFERROR(DATEVALUE('1. Raw Data'!B197),"")</f>
        <v>45652</v>
      </c>
      <c r="C197" s="27" t="str">
        <f t="shared" si="12"/>
        <v>Dec</v>
      </c>
      <c r="D197" s="27" t="str">
        <f t="shared" si="13"/>
        <v>Q4</v>
      </c>
      <c r="E197" s="28">
        <f t="shared" si="14"/>
        <v>2024</v>
      </c>
      <c r="F197" s="25" t="str">
        <f>PROPER(TRIM('1. Raw Data'!C197))</f>
        <v>Downtown</v>
      </c>
      <c r="G197" s="25" t="str">
        <f>TRIM('1. Raw Data'!D197)</f>
        <v>Business Loan</v>
      </c>
      <c r="H197" s="25" t="str">
        <f>TRIM('1. Raw Data'!E197)</f>
        <v>Loans</v>
      </c>
      <c r="I197" s="25" t="str">
        <f>TRIM('1. Raw Data'!F197)</f>
        <v>James Patel</v>
      </c>
      <c r="J197" s="27" t="str">
        <f>PROPER(TRIM('1. Raw Data'!G197))</f>
        <v>Pending</v>
      </c>
      <c r="K197" s="27" t="str">
        <f>TRIM('1. Raw Data'!H197)</f>
        <v>Low</v>
      </c>
      <c r="L197" s="29">
        <f>IFERROR(IF('1. Raw Data'!I197="",AVERAGE(IF('1. Raw Data'!I3:I402&lt;&gt;"",'1. Raw Data'!I3:I402)),VALUE('1. Raw Data'!I197)),0)</f>
        <v>165006.53</v>
      </c>
      <c r="M197" s="30">
        <f>IFERROR(IF('1. Raw Data'!J197="",AVERAGE(IF('1. Raw Data'!J3:J402&lt;&gt;"",'1. Raw Data'!J3:J402)),VALUE('1. Raw Data'!J197)),0)</f>
        <v>12.66</v>
      </c>
      <c r="N197" s="28">
        <f>'1. Raw Data'!K197</f>
        <v>6</v>
      </c>
      <c r="O197" s="29">
        <f t="shared" si="15"/>
        <v>28525.446393029521</v>
      </c>
      <c r="P197" s="28">
        <f>'1. Raw Data'!L197</f>
        <v>34</v>
      </c>
      <c r="Q197" s="27" t="str">
        <f>TRIM('1. Raw Data'!M197)</f>
        <v>Premium</v>
      </c>
    </row>
    <row r="198" spans="1:17" ht="16.5" customHeight="1" x14ac:dyDescent="0.45">
      <c r="A198" s="31" t="str">
        <f>'1. Raw Data'!A198</f>
        <v>TXN-100196</v>
      </c>
      <c r="B198" s="32">
        <f>IFERROR(DATEVALUE('1. Raw Data'!B198),"")</f>
        <v>45588</v>
      </c>
      <c r="C198" s="33" t="str">
        <f t="shared" si="12"/>
        <v>Oct</v>
      </c>
      <c r="D198" s="33" t="str">
        <f t="shared" si="13"/>
        <v>Q4</v>
      </c>
      <c r="E198" s="34">
        <f t="shared" si="14"/>
        <v>2024</v>
      </c>
      <c r="F198" s="31" t="str">
        <f>PROPER(TRIM('1. Raw Data'!C198))</f>
        <v>Westside</v>
      </c>
      <c r="G198" s="31" t="str">
        <f>TRIM('1. Raw Data'!D198)</f>
        <v>Savings Account</v>
      </c>
      <c r="H198" s="31" t="str">
        <f>TRIM('1. Raw Data'!E198)</f>
        <v>Deposits</v>
      </c>
      <c r="I198" s="31" t="str">
        <f>TRIM('1. Raw Data'!F198)</f>
        <v>Maria Lopez</v>
      </c>
      <c r="J198" s="33" t="str">
        <f>PROPER(TRIM('1. Raw Data'!G198))</f>
        <v>Active</v>
      </c>
      <c r="K198" s="33" t="str">
        <f>TRIM('1. Raw Data'!H198)</f>
        <v>Low</v>
      </c>
      <c r="L198" s="35">
        <f>IFERROR(IF('1. Raw Data'!I198="",AVERAGE(IF('1. Raw Data'!I3:I402&lt;&gt;"",'1. Raw Data'!I3:I402)),VALUE('1. Raw Data'!I198)),0)</f>
        <v>160526.95000000001</v>
      </c>
      <c r="M198" s="36">
        <f>IFERROR(IF('1. Raw Data'!J198="",AVERAGE(IF('1. Raw Data'!J3:J402&lt;&gt;"",'1. Raw Data'!J3:J402)),VALUE('1. Raw Data'!J198)),0)</f>
        <v>8.33</v>
      </c>
      <c r="N198" s="34">
        <f>'1. Raw Data'!K198</f>
        <v>60</v>
      </c>
      <c r="O198" s="35">
        <f t="shared" si="15"/>
        <v>3280.3193009550437</v>
      </c>
      <c r="P198" s="34">
        <f>'1. Raw Data'!L198</f>
        <v>74</v>
      </c>
      <c r="Q198" s="33" t="str">
        <f>TRIM('1. Raw Data'!M198)</f>
        <v>Premium</v>
      </c>
    </row>
    <row r="199" spans="1:17" ht="16.5" customHeight="1" x14ac:dyDescent="0.45">
      <c r="A199" s="25" t="str">
        <f>'1. Raw Data'!A199</f>
        <v>TXN-100197</v>
      </c>
      <c r="B199" s="26">
        <f>IFERROR(DATEVALUE('1. Raw Data'!B199),"")</f>
        <v>45402</v>
      </c>
      <c r="C199" s="27" t="str">
        <f t="shared" si="12"/>
        <v>Apr</v>
      </c>
      <c r="D199" s="27" t="str">
        <f t="shared" si="13"/>
        <v>Q2</v>
      </c>
      <c r="E199" s="28">
        <f t="shared" si="14"/>
        <v>2024</v>
      </c>
      <c r="F199" s="25" t="str">
        <f>PROPER(TRIM('1. Raw Data'!C199))</f>
        <v>Eastgate</v>
      </c>
      <c r="G199" s="25" t="str">
        <f>TRIM('1. Raw Data'!D199)</f>
        <v>Credit Card</v>
      </c>
      <c r="H199" s="25" t="str">
        <f>TRIM('1. Raw Data'!E199)</f>
        <v>Cards</v>
      </c>
      <c r="I199" s="25" t="str">
        <f>TRIM('1. Raw Data'!F199)</f>
        <v>Sarah Chen</v>
      </c>
      <c r="J199" s="27" t="str">
        <f>PROPER(TRIM('1. Raw Data'!G199))</f>
        <v>Active</v>
      </c>
      <c r="K199" s="27" t="str">
        <f>TRIM('1. Raw Data'!H199)</f>
        <v>High</v>
      </c>
      <c r="L199" s="29">
        <f>IFERROR(IF('1. Raw Data'!I199="",AVERAGE(IF('1. Raw Data'!I3:I402&lt;&gt;"",'1. Raw Data'!I3:I402)),VALUE('1. Raw Data'!I199)),0)</f>
        <v>88809.37</v>
      </c>
      <c r="M199" s="30">
        <f>IFERROR(IF('1. Raw Data'!J199="",AVERAGE(IF('1. Raw Data'!J3:J402&lt;&gt;"",'1. Raw Data'!J3:J402)),VALUE('1. Raw Data'!J199)),0)</f>
        <v>13.58</v>
      </c>
      <c r="N199" s="28">
        <f>'1. Raw Data'!K199</f>
        <v>24</v>
      </c>
      <c r="O199" s="29">
        <f t="shared" si="15"/>
        <v>4246.394099619939</v>
      </c>
      <c r="P199" s="28">
        <f>'1. Raw Data'!L199</f>
        <v>59</v>
      </c>
      <c r="Q199" s="27" t="str">
        <f>TRIM('1. Raw Data'!M199)</f>
        <v>Standard</v>
      </c>
    </row>
    <row r="200" spans="1:17" ht="16.5" customHeight="1" x14ac:dyDescent="0.45">
      <c r="A200" s="31" t="str">
        <f>'1. Raw Data'!A200</f>
        <v>TXN-100198</v>
      </c>
      <c r="B200" s="32">
        <f>IFERROR(DATEVALUE('1. Raw Data'!B200),"")</f>
        <v>45455</v>
      </c>
      <c r="C200" s="33" t="str">
        <f t="shared" si="12"/>
        <v>Jun</v>
      </c>
      <c r="D200" s="33" t="str">
        <f t="shared" si="13"/>
        <v>Q2</v>
      </c>
      <c r="E200" s="34">
        <f t="shared" si="14"/>
        <v>2024</v>
      </c>
      <c r="F200" s="31" t="str">
        <f>PROPER(TRIM('1. Raw Data'!C200))</f>
        <v>Northpark</v>
      </c>
      <c r="G200" s="31" t="str">
        <f>TRIM('1. Raw Data'!D200)</f>
        <v>Mortgage</v>
      </c>
      <c r="H200" s="31" t="str">
        <f>TRIM('1. Raw Data'!E200)</f>
        <v>Loans</v>
      </c>
      <c r="I200" s="31" t="str">
        <f>TRIM('1. Raw Data'!F200)</f>
        <v>Sarah Chen</v>
      </c>
      <c r="J200" s="33" t="str">
        <f>PROPER(TRIM('1. Raw Data'!G200))</f>
        <v>Pending</v>
      </c>
      <c r="K200" s="33" t="str">
        <f>TRIM('1. Raw Data'!H200)</f>
        <v>High</v>
      </c>
      <c r="L200" s="35">
        <f>IFERROR(IF('1. Raw Data'!I200="",AVERAGE(IF('1. Raw Data'!I3:I402&lt;&gt;"",'1. Raw Data'!I3:I402)),VALUE('1. Raw Data'!I200)),0)</f>
        <v>147620.13</v>
      </c>
      <c r="M200" s="36">
        <f>IFERROR(IF('1. Raw Data'!J200="",AVERAGE(IF('1. Raw Data'!J3:J402&lt;&gt;"",'1. Raw Data'!J3:J402)),VALUE('1. Raw Data'!J200)),0)</f>
        <v>3.02</v>
      </c>
      <c r="N200" s="34">
        <f>'1. Raw Data'!K200</f>
        <v>120</v>
      </c>
      <c r="O200" s="35">
        <f t="shared" si="15"/>
        <v>1426.7942044533513</v>
      </c>
      <c r="P200" s="34">
        <f>'1. Raw Data'!L200</f>
        <v>68</v>
      </c>
      <c r="Q200" s="33" t="str">
        <f>TRIM('1. Raw Data'!M200)</f>
        <v>Premium</v>
      </c>
    </row>
    <row r="201" spans="1:17" ht="16.5" customHeight="1" x14ac:dyDescent="0.45">
      <c r="A201" s="25" t="str">
        <f>'1. Raw Data'!A201</f>
        <v>TXN-100199</v>
      </c>
      <c r="B201" s="26">
        <f>IFERROR(DATEVALUE('1. Raw Data'!B201),"")</f>
        <v>45303</v>
      </c>
      <c r="C201" s="27" t="str">
        <f t="shared" si="12"/>
        <v>Jan</v>
      </c>
      <c r="D201" s="27" t="str">
        <f t="shared" si="13"/>
        <v>Q1</v>
      </c>
      <c r="E201" s="28">
        <f t="shared" si="14"/>
        <v>2024</v>
      </c>
      <c r="F201" s="25" t="str">
        <f>PROPER(TRIM('1. Raw Data'!C201))</f>
        <v>Downtown</v>
      </c>
      <c r="G201" s="25" t="str">
        <f>TRIM('1. Raw Data'!D201)</f>
        <v>Business Loan</v>
      </c>
      <c r="H201" s="25" t="str">
        <f>TRIM('1. Raw Data'!E201)</f>
        <v>Loans</v>
      </c>
      <c r="I201" s="25" t="str">
        <f>TRIM('1. Raw Data'!F201)</f>
        <v>Rachel Moore</v>
      </c>
      <c r="J201" s="27" t="str">
        <f>PROPER(TRIM('1. Raw Data'!G201))</f>
        <v>Pending</v>
      </c>
      <c r="K201" s="27" t="str">
        <f>TRIM('1. Raw Data'!H201)</f>
        <v>Medium</v>
      </c>
      <c r="L201" s="29">
        <f>IFERROR(IF('1. Raw Data'!I201="",AVERAGE(IF('1. Raw Data'!I3:I402&lt;&gt;"",'1. Raw Data'!I3:I402)),VALUE('1. Raw Data'!I201)),0)</f>
        <v>127905.65</v>
      </c>
      <c r="M201" s="30">
        <f>IFERROR(IF('1. Raw Data'!J201="",AVERAGE(IF('1. Raw Data'!J3:J402&lt;&gt;"",'1. Raw Data'!J3:J402)),VALUE('1. Raw Data'!J201)),0)</f>
        <v>6.32</v>
      </c>
      <c r="N201" s="28">
        <f>'1. Raw Data'!K201</f>
        <v>180</v>
      </c>
      <c r="O201" s="29">
        <f t="shared" si="15"/>
        <v>1101.5779737251619</v>
      </c>
      <c r="P201" s="28">
        <f>'1. Raw Data'!L201</f>
        <v>55</v>
      </c>
      <c r="Q201" s="27" t="str">
        <f>TRIM('1. Raw Data'!M201)</f>
        <v>Premium</v>
      </c>
    </row>
    <row r="202" spans="1:17" ht="16.5" customHeight="1" x14ac:dyDescent="0.45">
      <c r="A202" s="31" t="str">
        <f>'1. Raw Data'!A202</f>
        <v>TXN-100200</v>
      </c>
      <c r="B202" s="32">
        <f>IFERROR(DATEVALUE('1. Raw Data'!B202),"")</f>
        <v>45317</v>
      </c>
      <c r="C202" s="33" t="str">
        <f t="shared" si="12"/>
        <v>Jan</v>
      </c>
      <c r="D202" s="33" t="str">
        <f t="shared" si="13"/>
        <v>Q1</v>
      </c>
      <c r="E202" s="34">
        <f t="shared" si="14"/>
        <v>2024</v>
      </c>
      <c r="F202" s="31" t="str">
        <f>PROPER(TRIM('1. Raw Data'!C202))</f>
        <v>Eastgate</v>
      </c>
      <c r="G202" s="31" t="str">
        <f>TRIM('1. Raw Data'!D202)</f>
        <v>Savings Account</v>
      </c>
      <c r="H202" s="31" t="str">
        <f>TRIM('1. Raw Data'!E202)</f>
        <v>Deposits</v>
      </c>
      <c r="I202" s="31" t="str">
        <f>TRIM('1. Raw Data'!F202)</f>
        <v>Sarah Chen</v>
      </c>
      <c r="J202" s="33" t="str">
        <f>PROPER(TRIM('1. Raw Data'!G202))</f>
        <v>Active</v>
      </c>
      <c r="K202" s="33" t="str">
        <f>TRIM('1. Raw Data'!H202)</f>
        <v>Low</v>
      </c>
      <c r="L202" s="35">
        <f>IFERROR(IF('1. Raw Data'!I202="",AVERAGE(IF('1. Raw Data'!I3:I402&lt;&gt;"",'1. Raw Data'!I3:I402)),VALUE('1. Raw Data'!I202)),0)</f>
        <v>234872.1</v>
      </c>
      <c r="M202" s="36">
        <f>IFERROR(IF('1. Raw Data'!J202="",AVERAGE(IF('1. Raw Data'!J3:J402&lt;&gt;"",'1. Raw Data'!J3:J402)),VALUE('1. Raw Data'!J202)),0)</f>
        <v>7.69</v>
      </c>
      <c r="N202" s="34">
        <f>'1. Raw Data'!K202</f>
        <v>48</v>
      </c>
      <c r="O202" s="35">
        <f t="shared" si="15"/>
        <v>5699.7984385439822</v>
      </c>
      <c r="P202" s="34">
        <f>'1. Raw Data'!L202</f>
        <v>67</v>
      </c>
      <c r="Q202" s="33" t="str">
        <f>TRIM('1. Raw Data'!M202)</f>
        <v>Premium</v>
      </c>
    </row>
    <row r="203" spans="1:17" ht="16.5" customHeight="1" x14ac:dyDescent="0.45">
      <c r="A203" s="25" t="str">
        <f>'1. Raw Data'!A203</f>
        <v>TXN-100201</v>
      </c>
      <c r="B203" s="26">
        <f>IFERROR(DATEVALUE('1. Raw Data'!B203),"")</f>
        <v>45458</v>
      </c>
      <c r="C203" s="27" t="str">
        <f t="shared" si="12"/>
        <v>Jun</v>
      </c>
      <c r="D203" s="27" t="str">
        <f t="shared" si="13"/>
        <v>Q2</v>
      </c>
      <c r="E203" s="28">
        <f t="shared" si="14"/>
        <v>2024</v>
      </c>
      <c r="F203" s="25" t="str">
        <f>PROPER(TRIM('1. Raw Data'!C203))</f>
        <v>Uptown</v>
      </c>
      <c r="G203" s="25" t="str">
        <f>TRIM('1. Raw Data'!D203)</f>
        <v>Mortgage</v>
      </c>
      <c r="H203" s="25" t="str">
        <f>TRIM('1. Raw Data'!E203)</f>
        <v>Loans</v>
      </c>
      <c r="I203" s="25" t="str">
        <f>TRIM('1. Raw Data'!F203)</f>
        <v>Sarah Chen</v>
      </c>
      <c r="J203" s="27" t="str">
        <f>PROPER(TRIM('1. Raw Data'!G203))</f>
        <v>Active</v>
      </c>
      <c r="K203" s="27" t="str">
        <f>TRIM('1. Raw Data'!H203)</f>
        <v>High</v>
      </c>
      <c r="L203" s="29">
        <f>IFERROR(IF('1. Raw Data'!I203="",AVERAGE(IF('1. Raw Data'!I3:I402&lt;&gt;"",'1. Raw Data'!I3:I402)),VALUE('1. Raw Data'!I203)),0)</f>
        <v>90247.1</v>
      </c>
      <c r="M203" s="30">
        <f>IFERROR(IF('1. Raw Data'!J203="",AVERAGE(IF('1. Raw Data'!J3:J402&lt;&gt;"",'1. Raw Data'!J3:J402)),VALUE('1. Raw Data'!J203)),0)</f>
        <v>10.95</v>
      </c>
      <c r="N203" s="28">
        <f>'1. Raw Data'!K203</f>
        <v>48</v>
      </c>
      <c r="O203" s="29">
        <f t="shared" si="15"/>
        <v>2330.2927340372457</v>
      </c>
      <c r="P203" s="28">
        <f>'1. Raw Data'!L203</f>
        <v>75</v>
      </c>
      <c r="Q203" s="27" t="str">
        <f>TRIM('1. Raw Data'!M203)</f>
        <v>Standard</v>
      </c>
    </row>
    <row r="204" spans="1:17" ht="16.5" customHeight="1" x14ac:dyDescent="0.45">
      <c r="A204" s="31" t="str">
        <f>'1. Raw Data'!A204</f>
        <v>TXN-100202</v>
      </c>
      <c r="B204" s="32">
        <f>IFERROR(DATEVALUE('1. Raw Data'!B204),"")</f>
        <v>45328</v>
      </c>
      <c r="C204" s="33" t="str">
        <f t="shared" si="12"/>
        <v>Feb</v>
      </c>
      <c r="D204" s="33" t="str">
        <f t="shared" si="13"/>
        <v>Q1</v>
      </c>
      <c r="E204" s="34">
        <f t="shared" si="14"/>
        <v>2024</v>
      </c>
      <c r="F204" s="31" t="str">
        <f>PROPER(TRIM('1. Raw Data'!C204))</f>
        <v>Uptown</v>
      </c>
      <c r="G204" s="31" t="str">
        <f>TRIM('1. Raw Data'!D204)</f>
        <v>Business Loan</v>
      </c>
      <c r="H204" s="31" t="str">
        <f>TRIM('1. Raw Data'!E204)</f>
        <v>Loans</v>
      </c>
      <c r="I204" s="31" t="str">
        <f>TRIM('1. Raw Data'!F204)</f>
        <v>James Patel</v>
      </c>
      <c r="J204" s="33" t="str">
        <f>PROPER(TRIM('1. Raw Data'!G204))</f>
        <v>Active</v>
      </c>
      <c r="K204" s="33" t="str">
        <f>TRIM('1. Raw Data'!H204)</f>
        <v>Medium</v>
      </c>
      <c r="L204" s="35">
        <f>IFERROR(IF('1. Raw Data'!I204="",AVERAGE(IF('1. Raw Data'!I3:I402&lt;&gt;"",'1. Raw Data'!I3:I402)),VALUE('1. Raw Data'!I204)),0)</f>
        <v>164331.01</v>
      </c>
      <c r="M204" s="36">
        <f>IFERROR(IF('1. Raw Data'!J204="",AVERAGE(IF('1. Raw Data'!J3:J402&lt;&gt;"",'1. Raw Data'!J3:J402)),VALUE('1. Raw Data'!J204)),0)</f>
        <v>7.47</v>
      </c>
      <c r="N204" s="34">
        <f>'1. Raw Data'!K204</f>
        <v>60</v>
      </c>
      <c r="O204" s="35">
        <f t="shared" si="15"/>
        <v>3290.5141438297333</v>
      </c>
      <c r="P204" s="34">
        <f>'1. Raw Data'!L204</f>
        <v>25</v>
      </c>
      <c r="Q204" s="33" t="str">
        <f>TRIM('1. Raw Data'!M204)</f>
        <v>Premium</v>
      </c>
    </row>
    <row r="205" spans="1:17" ht="16.5" customHeight="1" x14ac:dyDescent="0.45">
      <c r="A205" s="25" t="str">
        <f>'1. Raw Data'!A205</f>
        <v>TXN-100203</v>
      </c>
      <c r="B205" s="26">
        <f>IFERROR(DATEVALUE('1. Raw Data'!B205),"")</f>
        <v>45293</v>
      </c>
      <c r="C205" s="27" t="str">
        <f t="shared" si="12"/>
        <v>Jan</v>
      </c>
      <c r="D205" s="27" t="str">
        <f t="shared" si="13"/>
        <v>Q1</v>
      </c>
      <c r="E205" s="28">
        <f t="shared" si="14"/>
        <v>2024</v>
      </c>
      <c r="F205" s="25" t="str">
        <f>PROPER(TRIM('1. Raw Data'!C205))</f>
        <v>Uptown</v>
      </c>
      <c r="G205" s="25" t="str">
        <f>TRIM('1. Raw Data'!D205)</f>
        <v>Business Loan</v>
      </c>
      <c r="H205" s="25" t="str">
        <f>TRIM('1. Raw Data'!E205)</f>
        <v>Loans</v>
      </c>
      <c r="I205" s="25" t="str">
        <f>TRIM('1. Raw Data'!F205)</f>
        <v>Sarah Chen</v>
      </c>
      <c r="J205" s="27" t="str">
        <f>PROPER(TRIM('1. Raw Data'!G205))</f>
        <v>Active</v>
      </c>
      <c r="K205" s="27" t="str">
        <f>TRIM('1. Raw Data'!H205)</f>
        <v>Medium</v>
      </c>
      <c r="L205" s="29">
        <f>IFERROR(IF('1. Raw Data'!I205="",AVERAGE(IF('1. Raw Data'!I3:I402&lt;&gt;"",'1. Raw Data'!I3:I402)),VALUE('1. Raw Data'!I205)),0)</f>
        <v>30928.26</v>
      </c>
      <c r="M205" s="30">
        <f>IFERROR(IF('1. Raw Data'!J205="",AVERAGE(IF('1. Raw Data'!J3:J402&lt;&gt;"",'1. Raw Data'!J3:J402)),VALUE('1. Raw Data'!J205)),0)</f>
        <v>9.81</v>
      </c>
      <c r="N205" s="28">
        <f>'1. Raw Data'!K205</f>
        <v>120</v>
      </c>
      <c r="O205" s="29">
        <f t="shared" si="15"/>
        <v>405.47211792119697</v>
      </c>
      <c r="P205" s="28">
        <f>'1. Raw Data'!L205</f>
        <v>46</v>
      </c>
      <c r="Q205" s="27" t="str">
        <f>TRIM('1. Raw Data'!M205)</f>
        <v>Standard</v>
      </c>
    </row>
    <row r="206" spans="1:17" ht="16.5" customHeight="1" x14ac:dyDescent="0.45">
      <c r="A206" s="31" t="str">
        <f>'1. Raw Data'!A206</f>
        <v>TXN-100204</v>
      </c>
      <c r="B206" s="32">
        <f>IFERROR(DATEVALUE('1. Raw Data'!B206),"")</f>
        <v>45528</v>
      </c>
      <c r="C206" s="33" t="str">
        <f t="shared" si="12"/>
        <v>Aug</v>
      </c>
      <c r="D206" s="33" t="str">
        <f t="shared" si="13"/>
        <v>Q3</v>
      </c>
      <c r="E206" s="34">
        <f t="shared" si="14"/>
        <v>2024</v>
      </c>
      <c r="F206" s="31" t="str">
        <f>PROPER(TRIM('1. Raw Data'!C206))</f>
        <v>Westside</v>
      </c>
      <c r="G206" s="31" t="str">
        <f>TRIM('1. Raw Data'!D206)</f>
        <v>Fixed Deposit</v>
      </c>
      <c r="H206" s="31" t="str">
        <f>TRIM('1. Raw Data'!E206)</f>
        <v>Deposits</v>
      </c>
      <c r="I206" s="31" t="str">
        <f>TRIM('1. Raw Data'!F206)</f>
        <v>Sarah Chen</v>
      </c>
      <c r="J206" s="33" t="str">
        <f>PROPER(TRIM('1. Raw Data'!G206))</f>
        <v>Active</v>
      </c>
      <c r="K206" s="33" t="str">
        <f>TRIM('1. Raw Data'!H206)</f>
        <v>Low</v>
      </c>
      <c r="L206" s="35">
        <f>IFERROR(IF('1. Raw Data'!I206="",AVERAGE(IF('1. Raw Data'!I3:I402&lt;&gt;"",'1. Raw Data'!I3:I402)),VALUE('1. Raw Data'!I206)),0)</f>
        <v>219557.08</v>
      </c>
      <c r="M206" s="36">
        <f>IFERROR(IF('1. Raw Data'!J206="",AVERAGE(IF('1. Raw Data'!J3:J402&lt;&gt;"",'1. Raw Data'!J3:J402)),VALUE('1. Raw Data'!J206)),0)</f>
        <v>8.09</v>
      </c>
      <c r="N206" s="34">
        <f>'1. Raw Data'!K206</f>
        <v>24</v>
      </c>
      <c r="O206" s="35">
        <f t="shared" si="15"/>
        <v>9938.9867350326967</v>
      </c>
      <c r="P206" s="34">
        <f>'1. Raw Data'!L206</f>
        <v>55</v>
      </c>
      <c r="Q206" s="33" t="str">
        <f>TRIM('1. Raw Data'!M206)</f>
        <v>Premium</v>
      </c>
    </row>
    <row r="207" spans="1:17" ht="16.5" customHeight="1" x14ac:dyDescent="0.45">
      <c r="A207" s="25" t="str">
        <f>'1. Raw Data'!A207</f>
        <v>TXN-100205</v>
      </c>
      <c r="B207" s="26">
        <f>IFERROR(DATEVALUE('1. Raw Data'!B207),"")</f>
        <v>45389</v>
      </c>
      <c r="C207" s="27" t="str">
        <f t="shared" si="12"/>
        <v>Apr</v>
      </c>
      <c r="D207" s="27" t="str">
        <f t="shared" si="13"/>
        <v>Q2</v>
      </c>
      <c r="E207" s="28">
        <f t="shared" si="14"/>
        <v>2024</v>
      </c>
      <c r="F207" s="25" t="str">
        <f>PROPER(TRIM('1. Raw Data'!C207))</f>
        <v>Uptown</v>
      </c>
      <c r="G207" s="25" t="str">
        <f>TRIM('1. Raw Data'!D207)</f>
        <v>Checking Account</v>
      </c>
      <c r="H207" s="25" t="str">
        <f>TRIM('1. Raw Data'!E207)</f>
        <v>Deposits</v>
      </c>
      <c r="I207" s="25" t="str">
        <f>TRIM('1. Raw Data'!F207)</f>
        <v>James Patel</v>
      </c>
      <c r="J207" s="27" t="str">
        <f>PROPER(TRIM('1. Raw Data'!G207))</f>
        <v>Active</v>
      </c>
      <c r="K207" s="27" t="str">
        <f>TRIM('1. Raw Data'!H207)</f>
        <v>Medium</v>
      </c>
      <c r="L207" s="29">
        <f>IFERROR(IF('1. Raw Data'!I207="",AVERAGE(IF('1. Raw Data'!I3:I402&lt;&gt;"",'1. Raw Data'!I3:I402)),VALUE('1. Raw Data'!I207)),0)</f>
        <v>231648.99</v>
      </c>
      <c r="M207" s="30">
        <f>IFERROR(IF('1. Raw Data'!J207="",AVERAGE(IF('1. Raw Data'!J3:J402&lt;&gt;"",'1. Raw Data'!J3:J402)),VALUE('1. Raw Data'!J207)),0)</f>
        <v>9.0399999999999991</v>
      </c>
      <c r="N207" s="28">
        <f>'1. Raw Data'!K207</f>
        <v>24</v>
      </c>
      <c r="O207" s="29">
        <f t="shared" si="15"/>
        <v>10587.076305999535</v>
      </c>
      <c r="P207" s="28">
        <f>'1. Raw Data'!L207</f>
        <v>25</v>
      </c>
      <c r="Q207" s="27" t="str">
        <f>TRIM('1. Raw Data'!M207)</f>
        <v>Premium</v>
      </c>
    </row>
    <row r="208" spans="1:17" ht="16.5" customHeight="1" x14ac:dyDescent="0.45">
      <c r="A208" s="31" t="str">
        <f>'1. Raw Data'!A208</f>
        <v>TXN-100206</v>
      </c>
      <c r="B208" s="32">
        <f>IFERROR(DATEVALUE('1. Raw Data'!B208),"")</f>
        <v>45331</v>
      </c>
      <c r="C208" s="33" t="str">
        <f t="shared" si="12"/>
        <v>Feb</v>
      </c>
      <c r="D208" s="33" t="str">
        <f t="shared" si="13"/>
        <v>Q1</v>
      </c>
      <c r="E208" s="34">
        <f t="shared" si="14"/>
        <v>2024</v>
      </c>
      <c r="F208" s="31" t="str">
        <f>PROPER(TRIM('1. Raw Data'!C208))</f>
        <v>Eastgate</v>
      </c>
      <c r="G208" s="31" t="str">
        <f>TRIM('1. Raw Data'!D208)</f>
        <v>Auto Loan</v>
      </c>
      <c r="H208" s="31" t="str">
        <f>TRIM('1. Raw Data'!E208)</f>
        <v>Loans</v>
      </c>
      <c r="I208" s="31" t="str">
        <f>TRIM('1. Raw Data'!F208)</f>
        <v>Maria Lopez</v>
      </c>
      <c r="J208" s="33" t="str">
        <f>PROPER(TRIM('1. Raw Data'!G208))</f>
        <v>Active</v>
      </c>
      <c r="K208" s="33" t="str">
        <f>TRIM('1. Raw Data'!H208)</f>
        <v>High</v>
      </c>
      <c r="L208" s="35">
        <f>IFERROR(IF('1. Raw Data'!I208="",AVERAGE(IF('1. Raw Data'!I3:I402&lt;&gt;"",'1. Raw Data'!I3:I402)),VALUE('1. Raw Data'!I208)),0)</f>
        <v>162974.42000000001</v>
      </c>
      <c r="M208" s="36">
        <f>IFERROR(IF('1. Raw Data'!J208="",AVERAGE(IF('1. Raw Data'!J3:J402&lt;&gt;"",'1. Raw Data'!J3:J402)),VALUE('1. Raw Data'!J208)),0)</f>
        <v>0</v>
      </c>
      <c r="N208" s="34">
        <f>'1. Raw Data'!K208</f>
        <v>240</v>
      </c>
      <c r="O208" s="35">
        <f t="shared" si="15"/>
        <v>0</v>
      </c>
      <c r="P208" s="34">
        <f>'1. Raw Data'!L208</f>
        <v>62</v>
      </c>
      <c r="Q208" s="33" t="str">
        <f>TRIM('1. Raw Data'!M208)</f>
        <v>Premium</v>
      </c>
    </row>
    <row r="209" spans="1:17" ht="16.5" customHeight="1" x14ac:dyDescent="0.45">
      <c r="A209" s="25" t="str">
        <f>'1. Raw Data'!A209</f>
        <v>TXN-100207</v>
      </c>
      <c r="B209" s="26">
        <f>IFERROR(DATEVALUE('1. Raw Data'!B209),"")</f>
        <v>45332</v>
      </c>
      <c r="C209" s="27" t="str">
        <f t="shared" si="12"/>
        <v>Feb</v>
      </c>
      <c r="D209" s="27" t="str">
        <f t="shared" si="13"/>
        <v>Q1</v>
      </c>
      <c r="E209" s="28">
        <f t="shared" si="14"/>
        <v>2024</v>
      </c>
      <c r="F209" s="25" t="str">
        <f>PROPER(TRIM('1. Raw Data'!C209))</f>
        <v>Westside</v>
      </c>
      <c r="G209" s="25" t="str">
        <f>TRIM('1. Raw Data'!D209)</f>
        <v>Business Loan</v>
      </c>
      <c r="H209" s="25" t="str">
        <f>TRIM('1. Raw Data'!E209)</f>
        <v>Loans</v>
      </c>
      <c r="I209" s="25" t="str">
        <f>TRIM('1. Raw Data'!F209)</f>
        <v>Rachel Moore</v>
      </c>
      <c r="J209" s="27" t="str">
        <f>PROPER(TRIM('1. Raw Data'!G209))</f>
        <v>Active</v>
      </c>
      <c r="K209" s="27" t="str">
        <f>TRIM('1. Raw Data'!H209)</f>
        <v>Low</v>
      </c>
      <c r="L209" s="29">
        <f>IFERROR(IF('1. Raw Data'!I209="",AVERAGE(IF('1. Raw Data'!I3:I402&lt;&gt;"",'1. Raw Data'!I3:I402)),VALUE('1. Raw Data'!I209)),0)</f>
        <v>19200.990000000002</v>
      </c>
      <c r="M209" s="30">
        <f>IFERROR(IF('1. Raw Data'!J209="",AVERAGE(IF('1. Raw Data'!J3:J402&lt;&gt;"",'1. Raw Data'!J3:J402)),VALUE('1. Raw Data'!J209)),0)</f>
        <v>8.49</v>
      </c>
      <c r="N209" s="28">
        <f>'1. Raw Data'!K209</f>
        <v>12</v>
      </c>
      <c r="O209" s="29">
        <f t="shared" si="15"/>
        <v>1674.6172623727241</v>
      </c>
      <c r="P209" s="28">
        <f>'1. Raw Data'!L209</f>
        <v>28</v>
      </c>
      <c r="Q209" s="27" t="str">
        <f>TRIM('1. Raw Data'!M209)</f>
        <v>Basic</v>
      </c>
    </row>
    <row r="210" spans="1:17" ht="16.5" customHeight="1" x14ac:dyDescent="0.45">
      <c r="A210" s="31" t="str">
        <f>'1. Raw Data'!A210</f>
        <v>TXN-100208</v>
      </c>
      <c r="B210" s="32">
        <f>IFERROR(DATEVALUE('1. Raw Data'!B210),"")</f>
        <v>45555</v>
      </c>
      <c r="C210" s="33" t="str">
        <f t="shared" si="12"/>
        <v>Sep</v>
      </c>
      <c r="D210" s="33" t="str">
        <f t="shared" si="13"/>
        <v>Q3</v>
      </c>
      <c r="E210" s="34">
        <f t="shared" si="14"/>
        <v>2024</v>
      </c>
      <c r="F210" s="31" t="str">
        <f>PROPER(TRIM('1. Raw Data'!C210))</f>
        <v>Northpark</v>
      </c>
      <c r="G210" s="31" t="str">
        <f>TRIM('1. Raw Data'!D210)</f>
        <v>Savings Account</v>
      </c>
      <c r="H210" s="31" t="str">
        <f>TRIM('1. Raw Data'!E210)</f>
        <v>Deposits</v>
      </c>
      <c r="I210" s="31" t="str">
        <f>TRIM('1. Raw Data'!F210)</f>
        <v>Rachel Moore</v>
      </c>
      <c r="J210" s="33" t="str">
        <f>PROPER(TRIM('1. Raw Data'!G210))</f>
        <v>Inactive</v>
      </c>
      <c r="K210" s="33" t="str">
        <f>TRIM('1. Raw Data'!H210)</f>
        <v>High</v>
      </c>
      <c r="L210" s="35">
        <f>IFERROR(IF('1. Raw Data'!I210="",AVERAGE(IF('1. Raw Data'!I3:I402&lt;&gt;"",'1. Raw Data'!I3:I402)),VALUE('1. Raw Data'!I210)),0)</f>
        <v>206856.34</v>
      </c>
      <c r="M210" s="36">
        <f>IFERROR(IF('1. Raw Data'!J210="",AVERAGE(IF('1. Raw Data'!J3:J402&lt;&gt;"",'1. Raw Data'!J3:J402)),VALUE('1. Raw Data'!J210)),0)</f>
        <v>2.59</v>
      </c>
      <c r="N210" s="34">
        <f>'1. Raw Data'!K210</f>
        <v>60</v>
      </c>
      <c r="O210" s="35">
        <f t="shared" si="15"/>
        <v>3679.3689046640761</v>
      </c>
      <c r="P210" s="34">
        <f>'1. Raw Data'!L210</f>
        <v>48</v>
      </c>
      <c r="Q210" s="33" t="str">
        <f>TRIM('1. Raw Data'!M210)</f>
        <v>Premium</v>
      </c>
    </row>
    <row r="211" spans="1:17" ht="16.5" customHeight="1" x14ac:dyDescent="0.45">
      <c r="A211" s="25" t="str">
        <f>'1. Raw Data'!A211</f>
        <v>TXN-100209</v>
      </c>
      <c r="B211" s="26">
        <f>IFERROR(DATEVALUE('1. Raw Data'!B211),"")</f>
        <v>45327</v>
      </c>
      <c r="C211" s="27" t="str">
        <f t="shared" si="12"/>
        <v>Feb</v>
      </c>
      <c r="D211" s="27" t="str">
        <f t="shared" si="13"/>
        <v>Q1</v>
      </c>
      <c r="E211" s="28">
        <f t="shared" si="14"/>
        <v>2024</v>
      </c>
      <c r="F211" s="25" t="str">
        <f>PROPER(TRIM('1. Raw Data'!C211))</f>
        <v>Westside</v>
      </c>
      <c r="G211" s="25" t="str">
        <f>TRIM('1. Raw Data'!D211)</f>
        <v>Credit Card</v>
      </c>
      <c r="H211" s="25" t="str">
        <f>TRIM('1. Raw Data'!E211)</f>
        <v>Cards</v>
      </c>
      <c r="I211" s="25" t="str">
        <f>TRIM('1. Raw Data'!F211)</f>
        <v>Rachel Moore</v>
      </c>
      <c r="J211" s="27" t="str">
        <f>PROPER(TRIM('1. Raw Data'!G211))</f>
        <v>Pending</v>
      </c>
      <c r="K211" s="27" t="str">
        <f>TRIM('1. Raw Data'!H211)</f>
        <v>Medium</v>
      </c>
      <c r="L211" s="29">
        <f>IFERROR(IF('1. Raw Data'!I211="",AVERAGE(IF('1. Raw Data'!I3:I402&lt;&gt;"",'1. Raw Data'!I3:I402)),VALUE('1. Raw Data'!I211)),0)</f>
        <v>156247.98000000001</v>
      </c>
      <c r="M211" s="30">
        <f>IFERROR(IF('1. Raw Data'!J211="",AVERAGE(IF('1. Raw Data'!J3:J402&lt;&gt;"",'1. Raw Data'!J3:J402)),VALUE('1. Raw Data'!J211)),0)</f>
        <v>9.0399999999999991</v>
      </c>
      <c r="N211" s="28">
        <f>'1. Raw Data'!K211</f>
        <v>240</v>
      </c>
      <c r="O211" s="29">
        <f t="shared" si="15"/>
        <v>1409.8256950320165</v>
      </c>
      <c r="P211" s="28">
        <f>'1. Raw Data'!L211</f>
        <v>47</v>
      </c>
      <c r="Q211" s="27" t="str">
        <f>TRIM('1. Raw Data'!M211)</f>
        <v>Premium</v>
      </c>
    </row>
    <row r="212" spans="1:17" ht="16.5" customHeight="1" x14ac:dyDescent="0.45">
      <c r="A212" s="31" t="str">
        <f>'1. Raw Data'!A212</f>
        <v>TXN-100210</v>
      </c>
      <c r="B212" s="32">
        <f>IFERROR(DATEVALUE('1. Raw Data'!B212),"")</f>
        <v>45621</v>
      </c>
      <c r="C212" s="33" t="str">
        <f t="shared" si="12"/>
        <v>Nov</v>
      </c>
      <c r="D212" s="33" t="str">
        <f t="shared" si="13"/>
        <v>Q4</v>
      </c>
      <c r="E212" s="34">
        <f t="shared" si="14"/>
        <v>2024</v>
      </c>
      <c r="F212" s="31" t="str">
        <f>PROPER(TRIM('1. Raw Data'!C212))</f>
        <v>Northpark</v>
      </c>
      <c r="G212" s="31" t="str">
        <f>TRIM('1. Raw Data'!D212)</f>
        <v>Personal Loan</v>
      </c>
      <c r="H212" s="31" t="str">
        <f>TRIM('1. Raw Data'!E212)</f>
        <v>Loans</v>
      </c>
      <c r="I212" s="31" t="str">
        <f>TRIM('1. Raw Data'!F212)</f>
        <v>James Patel</v>
      </c>
      <c r="J212" s="33" t="str">
        <f>PROPER(TRIM('1. Raw Data'!G212))</f>
        <v>Active</v>
      </c>
      <c r="K212" s="33" t="str">
        <f>TRIM('1. Raw Data'!H212)</f>
        <v>Low</v>
      </c>
      <c r="L212" s="35">
        <f>IFERROR(IF('1. Raw Data'!I212="",AVERAGE(IF('1. Raw Data'!I3:I402&lt;&gt;"",'1. Raw Data'!I3:I402)),VALUE('1. Raw Data'!I212)),0)</f>
        <v>136460.91</v>
      </c>
      <c r="M212" s="36">
        <f>IFERROR(IF('1. Raw Data'!J212="",AVERAGE(IF('1. Raw Data'!J3:J402&lt;&gt;"",'1. Raw Data'!J3:J402)),VALUE('1. Raw Data'!J212)),0)</f>
        <v>6.66</v>
      </c>
      <c r="N212" s="34">
        <f>'1. Raw Data'!K212</f>
        <v>240</v>
      </c>
      <c r="O212" s="35">
        <f t="shared" si="15"/>
        <v>1030.3107116971598</v>
      </c>
      <c r="P212" s="34">
        <f>'1. Raw Data'!L212</f>
        <v>29</v>
      </c>
      <c r="Q212" s="33" t="str">
        <f>TRIM('1. Raw Data'!M212)</f>
        <v>Premium</v>
      </c>
    </row>
    <row r="213" spans="1:17" ht="16.5" customHeight="1" x14ac:dyDescent="0.45">
      <c r="A213" s="25" t="str">
        <f>'1. Raw Data'!A213</f>
        <v>TXN-100211</v>
      </c>
      <c r="B213" s="26">
        <f>IFERROR(DATEVALUE('1. Raw Data'!B213),"")</f>
        <v>45558</v>
      </c>
      <c r="C213" s="27" t="str">
        <f t="shared" si="12"/>
        <v>Sep</v>
      </c>
      <c r="D213" s="27" t="str">
        <f t="shared" si="13"/>
        <v>Q3</v>
      </c>
      <c r="E213" s="28">
        <f t="shared" si="14"/>
        <v>2024</v>
      </c>
      <c r="F213" s="25" t="str">
        <f>PROPER(TRIM('1. Raw Data'!C213))</f>
        <v>Eastgate</v>
      </c>
      <c r="G213" s="25" t="str">
        <f>TRIM('1. Raw Data'!D213)</f>
        <v>Fixed Deposit</v>
      </c>
      <c r="H213" s="25" t="str">
        <f>TRIM('1. Raw Data'!E213)</f>
        <v>Deposits</v>
      </c>
      <c r="I213" s="25" t="str">
        <f>TRIM('1. Raw Data'!F213)</f>
        <v>Maria Lopez</v>
      </c>
      <c r="J213" s="27" t="str">
        <f>PROPER(TRIM('1. Raw Data'!G213))</f>
        <v>Active</v>
      </c>
      <c r="K213" s="27" t="str">
        <f>TRIM('1. Raw Data'!H213)</f>
        <v>Low</v>
      </c>
      <c r="L213" s="29">
        <f>IFERROR(IF('1. Raw Data'!I213="",AVERAGE(IF('1. Raw Data'!I3:I402&lt;&gt;"",'1. Raw Data'!I3:I402)),VALUE('1. Raw Data'!I213)),0)</f>
        <v>122944.29</v>
      </c>
      <c r="M213" s="30">
        <f>IFERROR(IF('1. Raw Data'!J213="",AVERAGE(IF('1. Raw Data'!J3:J402&lt;&gt;"",'1. Raw Data'!J3:J402)),VALUE('1. Raw Data'!J213)),0)</f>
        <v>4.47</v>
      </c>
      <c r="N213" s="28">
        <f>'1. Raw Data'!K213</f>
        <v>120</v>
      </c>
      <c r="O213" s="29">
        <f t="shared" si="15"/>
        <v>1272.3978723849723</v>
      </c>
      <c r="P213" s="28">
        <f>'1. Raw Data'!L213</f>
        <v>33</v>
      </c>
      <c r="Q213" s="27" t="str">
        <f>TRIM('1. Raw Data'!M213)</f>
        <v>Premium</v>
      </c>
    </row>
    <row r="214" spans="1:17" ht="16.5" customHeight="1" x14ac:dyDescent="0.45">
      <c r="A214" s="31" t="str">
        <f>'1. Raw Data'!A214</f>
        <v>TXN-100212</v>
      </c>
      <c r="B214" s="32">
        <f>IFERROR(DATEVALUE('1. Raw Data'!B214),"")</f>
        <v>45398</v>
      </c>
      <c r="C214" s="33" t="str">
        <f t="shared" si="12"/>
        <v>Apr</v>
      </c>
      <c r="D214" s="33" t="str">
        <f t="shared" si="13"/>
        <v>Q2</v>
      </c>
      <c r="E214" s="34">
        <f t="shared" si="14"/>
        <v>2024</v>
      </c>
      <c r="F214" s="31" t="str">
        <f>PROPER(TRIM('1. Raw Data'!C214))</f>
        <v>Eastgate</v>
      </c>
      <c r="G214" s="31" t="str">
        <f>TRIM('1. Raw Data'!D214)</f>
        <v>Checking Account</v>
      </c>
      <c r="H214" s="31" t="str">
        <f>TRIM('1. Raw Data'!E214)</f>
        <v>Deposits</v>
      </c>
      <c r="I214" s="31" t="str">
        <f>TRIM('1. Raw Data'!F214)</f>
        <v>Rachel Moore</v>
      </c>
      <c r="J214" s="33" t="str">
        <f>PROPER(TRIM('1. Raw Data'!G214))</f>
        <v>Inactive</v>
      </c>
      <c r="K214" s="33" t="str">
        <f>TRIM('1. Raw Data'!H214)</f>
        <v>Medium</v>
      </c>
      <c r="L214" s="35">
        <f>IFERROR(IF('1. Raw Data'!I214="",AVERAGE(IF('1. Raw Data'!I3:I402&lt;&gt;"",'1. Raw Data'!I3:I402)),VALUE('1. Raw Data'!I214)),0)</f>
        <v>67669.05</v>
      </c>
      <c r="M214" s="36">
        <f>IFERROR(IF('1. Raw Data'!J214="",AVERAGE(IF('1. Raw Data'!J3:J402&lt;&gt;"",'1. Raw Data'!J3:J402)),VALUE('1. Raw Data'!J214)),0)</f>
        <v>12.81</v>
      </c>
      <c r="N214" s="34">
        <f>'1. Raw Data'!K214</f>
        <v>240</v>
      </c>
      <c r="O214" s="35">
        <f t="shared" si="15"/>
        <v>783.65265377088986</v>
      </c>
      <c r="P214" s="34">
        <f>'1. Raw Data'!L214</f>
        <v>26</v>
      </c>
      <c r="Q214" s="33" t="str">
        <f>TRIM('1. Raw Data'!M214)</f>
        <v>Standard</v>
      </c>
    </row>
    <row r="215" spans="1:17" ht="16.5" customHeight="1" x14ac:dyDescent="0.45">
      <c r="A215" s="25" t="str">
        <f>'1. Raw Data'!A215</f>
        <v>TXN-100213</v>
      </c>
      <c r="B215" s="26">
        <f>IFERROR(DATEVALUE('1. Raw Data'!B215),"")</f>
        <v>45634</v>
      </c>
      <c r="C215" s="27" t="str">
        <f t="shared" si="12"/>
        <v>Dec</v>
      </c>
      <c r="D215" s="27" t="str">
        <f t="shared" si="13"/>
        <v>Q4</v>
      </c>
      <c r="E215" s="28">
        <f t="shared" si="14"/>
        <v>2024</v>
      </c>
      <c r="F215" s="25" t="str">
        <f>PROPER(TRIM('1. Raw Data'!C215))</f>
        <v>Downtown</v>
      </c>
      <c r="G215" s="25" t="str">
        <f>TRIM('1. Raw Data'!D215)</f>
        <v>Mortgage</v>
      </c>
      <c r="H215" s="25" t="str">
        <f>TRIM('1. Raw Data'!E215)</f>
        <v>Loans</v>
      </c>
      <c r="I215" s="25" t="str">
        <f>TRIM('1. Raw Data'!F215)</f>
        <v>Maria Lopez</v>
      </c>
      <c r="J215" s="27" t="str">
        <f>PROPER(TRIM('1. Raw Data'!G215))</f>
        <v>Active</v>
      </c>
      <c r="K215" s="27" t="str">
        <f>TRIM('1. Raw Data'!H215)</f>
        <v>Low</v>
      </c>
      <c r="L215" s="29">
        <f>IFERROR(IF('1. Raw Data'!I215="",AVERAGE(IF('1. Raw Data'!I3:I402&lt;&gt;"",'1. Raw Data'!I3:I402)),VALUE('1. Raw Data'!I215)),0)</f>
        <v>42394.81</v>
      </c>
      <c r="M215" s="30">
        <f>IFERROR(IF('1. Raw Data'!J215="",AVERAGE(IF('1. Raw Data'!J3:J402&lt;&gt;"",'1. Raw Data'!J3:J402)),VALUE('1. Raw Data'!J215)),0)</f>
        <v>3.15</v>
      </c>
      <c r="N215" s="28">
        <f>'1. Raw Data'!K215</f>
        <v>60</v>
      </c>
      <c r="O215" s="29">
        <f t="shared" si="15"/>
        <v>764.60845485922653</v>
      </c>
      <c r="P215" s="28">
        <f>'1. Raw Data'!L215</f>
        <v>30</v>
      </c>
      <c r="Q215" s="27" t="str">
        <f>TRIM('1. Raw Data'!M215)</f>
        <v>Standard</v>
      </c>
    </row>
    <row r="216" spans="1:17" ht="16.5" customHeight="1" x14ac:dyDescent="0.45">
      <c r="A216" s="31" t="str">
        <f>'1. Raw Data'!A216</f>
        <v>TXN-100214</v>
      </c>
      <c r="B216" s="32">
        <f>IFERROR(DATEVALUE('1. Raw Data'!B216),"")</f>
        <v>45467</v>
      </c>
      <c r="C216" s="33" t="str">
        <f t="shared" si="12"/>
        <v>Jun</v>
      </c>
      <c r="D216" s="33" t="str">
        <f t="shared" si="13"/>
        <v>Q2</v>
      </c>
      <c r="E216" s="34">
        <f t="shared" si="14"/>
        <v>2024</v>
      </c>
      <c r="F216" s="31" t="str">
        <f>PROPER(TRIM('1. Raw Data'!C216))</f>
        <v>Northpark</v>
      </c>
      <c r="G216" s="31" t="str">
        <f>TRIM('1. Raw Data'!D216)</f>
        <v>Fixed Deposit</v>
      </c>
      <c r="H216" s="31" t="str">
        <f>TRIM('1. Raw Data'!E216)</f>
        <v>Deposits</v>
      </c>
      <c r="I216" s="31" t="str">
        <f>TRIM('1. Raw Data'!F216)</f>
        <v>Rachel Moore</v>
      </c>
      <c r="J216" s="33" t="str">
        <f>PROPER(TRIM('1. Raw Data'!G216))</f>
        <v>Active</v>
      </c>
      <c r="K216" s="33" t="str">
        <f>TRIM('1. Raw Data'!H216)</f>
        <v>Medium</v>
      </c>
      <c r="L216" s="35">
        <f>IFERROR(IF('1. Raw Data'!I216="",AVERAGE(IF('1. Raw Data'!I3:I402&lt;&gt;"",'1. Raw Data'!I3:I402)),VALUE('1. Raw Data'!I216)),0)</f>
        <v>149276.22</v>
      </c>
      <c r="M216" s="36">
        <f>IFERROR(IF('1. Raw Data'!J216="",AVERAGE(IF('1. Raw Data'!J3:J402&lt;&gt;"",'1. Raw Data'!J3:J402)),VALUE('1. Raw Data'!J216)),0)</f>
        <v>7.08</v>
      </c>
      <c r="N216" s="34">
        <f>'1. Raw Data'!K216</f>
        <v>48</v>
      </c>
      <c r="O216" s="35">
        <f t="shared" si="15"/>
        <v>3580.1480291171547</v>
      </c>
      <c r="P216" s="34">
        <f>'1. Raw Data'!L216</f>
        <v>27</v>
      </c>
      <c r="Q216" s="33" t="str">
        <f>TRIM('1. Raw Data'!M216)</f>
        <v>Premium</v>
      </c>
    </row>
    <row r="217" spans="1:17" ht="16.5" customHeight="1" x14ac:dyDescent="0.45">
      <c r="A217" s="25" t="str">
        <f>'1. Raw Data'!A217</f>
        <v>TXN-100215</v>
      </c>
      <c r="B217" s="26">
        <f>IFERROR(DATEVALUE('1. Raw Data'!B217),"")</f>
        <v>45421</v>
      </c>
      <c r="C217" s="27" t="str">
        <f t="shared" si="12"/>
        <v>May</v>
      </c>
      <c r="D217" s="27" t="str">
        <f t="shared" si="13"/>
        <v>Q2</v>
      </c>
      <c r="E217" s="28">
        <f t="shared" si="14"/>
        <v>2024</v>
      </c>
      <c r="F217" s="25" t="str">
        <f>PROPER(TRIM('1. Raw Data'!C217))</f>
        <v>Westside</v>
      </c>
      <c r="G217" s="25" t="str">
        <f>TRIM('1. Raw Data'!D217)</f>
        <v>Auto Loan</v>
      </c>
      <c r="H217" s="25" t="str">
        <f>TRIM('1. Raw Data'!E217)</f>
        <v>Loans</v>
      </c>
      <c r="I217" s="25" t="str">
        <f>TRIM('1. Raw Data'!F217)</f>
        <v>Rachel Moore</v>
      </c>
      <c r="J217" s="27" t="str">
        <f>PROPER(TRIM('1. Raw Data'!G217))</f>
        <v>Inactive</v>
      </c>
      <c r="K217" s="27" t="str">
        <f>TRIM('1. Raw Data'!H217)</f>
        <v>Medium</v>
      </c>
      <c r="L217" s="29">
        <f>IFERROR(IF('1. Raw Data'!I217="",AVERAGE(IF('1. Raw Data'!I3:I402&lt;&gt;"",'1. Raw Data'!I3:I402)),VALUE('1. Raw Data'!I217)),0)</f>
        <v>111621.35</v>
      </c>
      <c r="M217" s="30">
        <f>IFERROR(IF('1. Raw Data'!J217="",AVERAGE(IF('1. Raw Data'!J3:J402&lt;&gt;"",'1. Raw Data'!J3:J402)),VALUE('1. Raw Data'!J217)),0)</f>
        <v>3.72</v>
      </c>
      <c r="N217" s="28">
        <f>'1. Raw Data'!K217</f>
        <v>12</v>
      </c>
      <c r="O217" s="29">
        <f t="shared" si="15"/>
        <v>9490.2735765444886</v>
      </c>
      <c r="P217" s="28">
        <f>'1. Raw Data'!L217</f>
        <v>35</v>
      </c>
      <c r="Q217" s="27" t="str">
        <f>TRIM('1. Raw Data'!M217)</f>
        <v>Premium</v>
      </c>
    </row>
    <row r="218" spans="1:17" ht="16.5" customHeight="1" x14ac:dyDescent="0.45">
      <c r="A218" s="31" t="str">
        <f>'1. Raw Data'!A218</f>
        <v>TXN-100216</v>
      </c>
      <c r="B218" s="32">
        <f>IFERROR(DATEVALUE('1. Raw Data'!B218),"")</f>
        <v>45429</v>
      </c>
      <c r="C218" s="33" t="str">
        <f t="shared" si="12"/>
        <v>May</v>
      </c>
      <c r="D218" s="33" t="str">
        <f t="shared" si="13"/>
        <v>Q2</v>
      </c>
      <c r="E218" s="34">
        <f t="shared" si="14"/>
        <v>2024</v>
      </c>
      <c r="F218" s="31" t="str">
        <f>PROPER(TRIM('1. Raw Data'!C218))</f>
        <v>Northpark</v>
      </c>
      <c r="G218" s="31" t="str">
        <f>TRIM('1. Raw Data'!D218)</f>
        <v>Fixed Deposit</v>
      </c>
      <c r="H218" s="31" t="str">
        <f>TRIM('1. Raw Data'!E218)</f>
        <v>Deposits</v>
      </c>
      <c r="I218" s="31" t="str">
        <f>TRIM('1. Raw Data'!F218)</f>
        <v>James Patel</v>
      </c>
      <c r="J218" s="33" t="str">
        <f>PROPER(TRIM('1. Raw Data'!G218))</f>
        <v>Pending</v>
      </c>
      <c r="K218" s="33" t="str">
        <f>TRIM('1. Raw Data'!H218)</f>
        <v>Medium</v>
      </c>
      <c r="L218" s="35">
        <f>IFERROR(IF('1. Raw Data'!I218="",AVERAGE(IF('1. Raw Data'!I3:I402&lt;&gt;"",'1. Raw Data'!I3:I402)),VALUE('1. Raw Data'!I218)),0)</f>
        <v>212797.56</v>
      </c>
      <c r="M218" s="36">
        <f>IFERROR(IF('1. Raw Data'!J218="",AVERAGE(IF('1. Raw Data'!J3:J402&lt;&gt;"",'1. Raw Data'!J3:J402)),VALUE('1. Raw Data'!J218)),0)</f>
        <v>12.88</v>
      </c>
      <c r="N218" s="34">
        <f>'1. Raw Data'!K218</f>
        <v>60</v>
      </c>
      <c r="O218" s="35">
        <f t="shared" si="15"/>
        <v>4828.7364886456935</v>
      </c>
      <c r="P218" s="34">
        <f>'1. Raw Data'!L218</f>
        <v>59</v>
      </c>
      <c r="Q218" s="33" t="str">
        <f>TRIM('1. Raw Data'!M218)</f>
        <v>Premium</v>
      </c>
    </row>
    <row r="219" spans="1:17" ht="16.5" customHeight="1" x14ac:dyDescent="0.45">
      <c r="A219" s="25" t="str">
        <f>'1. Raw Data'!A219</f>
        <v>TXN-100217</v>
      </c>
      <c r="B219" s="26">
        <f>IFERROR(DATEVALUE('1. Raw Data'!B219),"")</f>
        <v>45427</v>
      </c>
      <c r="C219" s="27" t="str">
        <f t="shared" si="12"/>
        <v>May</v>
      </c>
      <c r="D219" s="27" t="str">
        <f t="shared" si="13"/>
        <v>Q2</v>
      </c>
      <c r="E219" s="28">
        <f t="shared" si="14"/>
        <v>2024</v>
      </c>
      <c r="F219" s="25" t="str">
        <f>PROPER(TRIM('1. Raw Data'!C219))</f>
        <v>Eastgate</v>
      </c>
      <c r="G219" s="25" t="str">
        <f>TRIM('1. Raw Data'!D219)</f>
        <v>Credit Card</v>
      </c>
      <c r="H219" s="25" t="str">
        <f>TRIM('1. Raw Data'!E219)</f>
        <v>Cards</v>
      </c>
      <c r="I219" s="25" t="str">
        <f>TRIM('1. Raw Data'!F219)</f>
        <v>Maria Lopez</v>
      </c>
      <c r="J219" s="27" t="str">
        <f>PROPER(TRIM('1. Raw Data'!G219))</f>
        <v>Active</v>
      </c>
      <c r="K219" s="27" t="str">
        <f>TRIM('1. Raw Data'!H219)</f>
        <v>Low</v>
      </c>
      <c r="L219" s="29">
        <f>IFERROR(IF('1. Raw Data'!I219="",AVERAGE(IF('1. Raw Data'!I3:I402&lt;&gt;"",'1. Raw Data'!I3:I402)),VALUE('1. Raw Data'!I219)),0)</f>
        <v>55733.22</v>
      </c>
      <c r="M219" s="30">
        <f>IFERROR(IF('1. Raw Data'!J219="",AVERAGE(IF('1. Raw Data'!J3:J402&lt;&gt;"",'1. Raw Data'!J3:J402)),VALUE('1. Raw Data'!J219)),0)</f>
        <v>2.9</v>
      </c>
      <c r="N219" s="28">
        <f>'1. Raw Data'!K219</f>
        <v>60</v>
      </c>
      <c r="O219" s="29">
        <f t="shared" si="15"/>
        <v>998.97821718349269</v>
      </c>
      <c r="P219" s="28">
        <f>'1. Raw Data'!L219</f>
        <v>58</v>
      </c>
      <c r="Q219" s="27" t="str">
        <f>TRIM('1. Raw Data'!M219)</f>
        <v>Standard</v>
      </c>
    </row>
    <row r="220" spans="1:17" ht="16.5" customHeight="1" x14ac:dyDescent="0.45">
      <c r="A220" s="31" t="str">
        <f>'1. Raw Data'!A220</f>
        <v>TXN-100218</v>
      </c>
      <c r="B220" s="32">
        <f>IFERROR(DATEVALUE('1. Raw Data'!B220),"")</f>
        <v>45308</v>
      </c>
      <c r="C220" s="33" t="str">
        <f t="shared" si="12"/>
        <v>Jan</v>
      </c>
      <c r="D220" s="33" t="str">
        <f t="shared" si="13"/>
        <v>Q1</v>
      </c>
      <c r="E220" s="34">
        <f t="shared" si="14"/>
        <v>2024</v>
      </c>
      <c r="F220" s="31" t="str">
        <f>PROPER(TRIM('1. Raw Data'!C220))</f>
        <v>Northpark</v>
      </c>
      <c r="G220" s="31" t="str">
        <f>TRIM('1. Raw Data'!D220)</f>
        <v>Mortgage</v>
      </c>
      <c r="H220" s="31" t="str">
        <f>TRIM('1. Raw Data'!E220)</f>
        <v>Loans</v>
      </c>
      <c r="I220" s="31" t="str">
        <f>TRIM('1. Raw Data'!F220)</f>
        <v>James Patel</v>
      </c>
      <c r="J220" s="33" t="str">
        <f>PROPER(TRIM('1. Raw Data'!G220))</f>
        <v>Pending</v>
      </c>
      <c r="K220" s="33" t="str">
        <f>TRIM('1. Raw Data'!H220)</f>
        <v>Medium</v>
      </c>
      <c r="L220" s="35">
        <f>IFERROR(IF('1. Raw Data'!I220="",AVERAGE(IF('1. Raw Data'!I3:I402&lt;&gt;"",'1. Raw Data'!I3:I402)),VALUE('1. Raw Data'!I220)),0)</f>
        <v>108064.34</v>
      </c>
      <c r="M220" s="36">
        <f>IFERROR(IF('1. Raw Data'!J220="",AVERAGE(IF('1. Raw Data'!J3:J402&lt;&gt;"",'1. Raw Data'!J3:J402)),VALUE('1. Raw Data'!J220)),0)</f>
        <v>13.53</v>
      </c>
      <c r="N220" s="34">
        <f>'1. Raw Data'!K220</f>
        <v>240</v>
      </c>
      <c r="O220" s="35">
        <f t="shared" si="15"/>
        <v>1307.0747452748924</v>
      </c>
      <c r="P220" s="34">
        <f>'1. Raw Data'!L220</f>
        <v>46</v>
      </c>
      <c r="Q220" s="33" t="str">
        <f>TRIM('1. Raw Data'!M220)</f>
        <v>Premium</v>
      </c>
    </row>
    <row r="221" spans="1:17" ht="16.5" customHeight="1" x14ac:dyDescent="0.45">
      <c r="A221" s="25" t="str">
        <f>'1. Raw Data'!A221</f>
        <v>TXN-100219</v>
      </c>
      <c r="B221" s="26">
        <f>IFERROR(DATEVALUE('1. Raw Data'!B221),"")</f>
        <v>45375</v>
      </c>
      <c r="C221" s="27" t="str">
        <f t="shared" si="12"/>
        <v>Mar</v>
      </c>
      <c r="D221" s="27" t="str">
        <f t="shared" si="13"/>
        <v>Q1</v>
      </c>
      <c r="E221" s="28">
        <f t="shared" si="14"/>
        <v>2024</v>
      </c>
      <c r="F221" s="25" t="str">
        <f>PROPER(TRIM('1. Raw Data'!C221))</f>
        <v>Eastgate</v>
      </c>
      <c r="G221" s="25" t="str">
        <f>TRIM('1. Raw Data'!D221)</f>
        <v>Personal Loan</v>
      </c>
      <c r="H221" s="25" t="str">
        <f>TRIM('1. Raw Data'!E221)</f>
        <v>Loans</v>
      </c>
      <c r="I221" s="25" t="str">
        <f>TRIM('1. Raw Data'!F221)</f>
        <v>James Patel</v>
      </c>
      <c r="J221" s="27" t="str">
        <f>PROPER(TRIM('1. Raw Data'!G221))</f>
        <v>Inactive</v>
      </c>
      <c r="K221" s="27" t="str">
        <f>TRIM('1. Raw Data'!H221)</f>
        <v>Medium</v>
      </c>
      <c r="L221" s="29">
        <f>IFERROR(IF('1. Raw Data'!I221="",AVERAGE(IF('1. Raw Data'!I3:I402&lt;&gt;"",'1. Raw Data'!I3:I402)),VALUE('1. Raw Data'!I221)),0)</f>
        <v>5540.35</v>
      </c>
      <c r="M221" s="30">
        <f>IFERROR(IF('1. Raw Data'!J221="",AVERAGE(IF('1. Raw Data'!J3:J402&lt;&gt;"",'1. Raw Data'!J3:J402)),VALUE('1. Raw Data'!J221)),0)</f>
        <v>13.3</v>
      </c>
      <c r="N221" s="28">
        <f>'1. Raw Data'!K221</f>
        <v>180</v>
      </c>
      <c r="O221" s="29">
        <f t="shared" si="15"/>
        <v>71.196038595092688</v>
      </c>
      <c r="P221" s="28">
        <f>'1. Raw Data'!L221</f>
        <v>65</v>
      </c>
      <c r="Q221" s="27" t="str">
        <f>TRIM('1. Raw Data'!M221)</f>
        <v>Basic</v>
      </c>
    </row>
    <row r="222" spans="1:17" ht="16.5" customHeight="1" x14ac:dyDescent="0.45">
      <c r="A222" s="31" t="str">
        <f>'1. Raw Data'!A222</f>
        <v>TXN-100220</v>
      </c>
      <c r="B222" s="32">
        <f>IFERROR(DATEVALUE('1. Raw Data'!B222),"")</f>
        <v>45633</v>
      </c>
      <c r="C222" s="33" t="str">
        <f t="shared" si="12"/>
        <v>Dec</v>
      </c>
      <c r="D222" s="33" t="str">
        <f t="shared" si="13"/>
        <v>Q4</v>
      </c>
      <c r="E222" s="34">
        <f t="shared" si="14"/>
        <v>2024</v>
      </c>
      <c r="F222" s="31" t="str">
        <f>PROPER(TRIM('1. Raw Data'!C222))</f>
        <v>Northpark</v>
      </c>
      <c r="G222" s="31" t="str">
        <f>TRIM('1. Raw Data'!D222)</f>
        <v>Fixed Deposit</v>
      </c>
      <c r="H222" s="31" t="str">
        <f>TRIM('1. Raw Data'!E222)</f>
        <v>Deposits</v>
      </c>
      <c r="I222" s="31" t="str">
        <f>TRIM('1. Raw Data'!F222)</f>
        <v>David Kim</v>
      </c>
      <c r="J222" s="33" t="str">
        <f>PROPER(TRIM('1. Raw Data'!G222))</f>
        <v>Active</v>
      </c>
      <c r="K222" s="33" t="str">
        <f>TRIM('1. Raw Data'!H222)</f>
        <v>Medium</v>
      </c>
      <c r="L222" s="35">
        <f>IFERROR(IF('1. Raw Data'!I222="",AVERAGE(IF('1. Raw Data'!I3:I402&lt;&gt;"",'1. Raw Data'!I3:I402)),VALUE('1. Raw Data'!I222)),0)</f>
        <v>158506.41</v>
      </c>
      <c r="M222" s="36">
        <f>IFERROR(IF('1. Raw Data'!J222="",AVERAGE(IF('1. Raw Data'!J3:J402&lt;&gt;"",'1. Raw Data'!J3:J402)),VALUE('1. Raw Data'!J222)),0)</f>
        <v>13.11</v>
      </c>
      <c r="N222" s="34">
        <f>'1. Raw Data'!K222</f>
        <v>360</v>
      </c>
      <c r="O222" s="35">
        <f t="shared" si="15"/>
        <v>1767.0356783522475</v>
      </c>
      <c r="P222" s="34">
        <f>'1. Raw Data'!L222</f>
        <v>51</v>
      </c>
      <c r="Q222" s="33" t="str">
        <f>TRIM('1. Raw Data'!M222)</f>
        <v>Premium</v>
      </c>
    </row>
    <row r="223" spans="1:17" ht="16.5" customHeight="1" x14ac:dyDescent="0.45">
      <c r="A223" s="25" t="str">
        <f>'1. Raw Data'!A223</f>
        <v>TXN-100221</v>
      </c>
      <c r="B223" s="26">
        <f>IFERROR(DATEVALUE('1. Raw Data'!B223),"")</f>
        <v>45505</v>
      </c>
      <c r="C223" s="27" t="str">
        <f t="shared" si="12"/>
        <v>Aug</v>
      </c>
      <c r="D223" s="27" t="str">
        <f t="shared" si="13"/>
        <v>Q3</v>
      </c>
      <c r="E223" s="28">
        <f t="shared" si="14"/>
        <v>2024</v>
      </c>
      <c r="F223" s="25" t="str">
        <f>PROPER(TRIM('1. Raw Data'!C223))</f>
        <v>Westside</v>
      </c>
      <c r="G223" s="25" t="str">
        <f>TRIM('1. Raw Data'!D223)</f>
        <v>Fixed Deposit</v>
      </c>
      <c r="H223" s="25" t="str">
        <f>TRIM('1. Raw Data'!E223)</f>
        <v>Deposits</v>
      </c>
      <c r="I223" s="25" t="str">
        <f>TRIM('1. Raw Data'!F223)</f>
        <v>Rachel Moore</v>
      </c>
      <c r="J223" s="27" t="str">
        <f>PROPER(TRIM('1. Raw Data'!G223))</f>
        <v>Active</v>
      </c>
      <c r="K223" s="27" t="str">
        <f>TRIM('1. Raw Data'!H223)</f>
        <v>Low</v>
      </c>
      <c r="L223" s="29">
        <f>IFERROR(IF('1. Raw Data'!I223="",AVERAGE(IF('1. Raw Data'!I3:I402&lt;&gt;"",'1. Raw Data'!I3:I402)),VALUE('1. Raw Data'!I223)),0)</f>
        <v>227205.37</v>
      </c>
      <c r="M223" s="30">
        <f>IFERROR(IF('1. Raw Data'!J223="",AVERAGE(IF('1. Raw Data'!J3:J402&lt;&gt;"",'1. Raw Data'!J3:J402)),VALUE('1. Raw Data'!J223)),0)</f>
        <v>6.87</v>
      </c>
      <c r="N223" s="28">
        <f>'1. Raw Data'!K223</f>
        <v>6</v>
      </c>
      <c r="O223" s="29">
        <f t="shared" si="15"/>
        <v>38629.942509487948</v>
      </c>
      <c r="P223" s="28">
        <f>'1. Raw Data'!L223</f>
        <v>35</v>
      </c>
      <c r="Q223" s="27" t="str">
        <f>TRIM('1. Raw Data'!M223)</f>
        <v>Premium</v>
      </c>
    </row>
    <row r="224" spans="1:17" ht="16.5" customHeight="1" x14ac:dyDescent="0.45">
      <c r="A224" s="31" t="str">
        <f>'1. Raw Data'!A224</f>
        <v>TXN-100222</v>
      </c>
      <c r="B224" s="32">
        <f>IFERROR(DATEVALUE('1. Raw Data'!B224),"")</f>
        <v>45307</v>
      </c>
      <c r="C224" s="33" t="str">
        <f t="shared" si="12"/>
        <v>Jan</v>
      </c>
      <c r="D224" s="33" t="str">
        <f t="shared" si="13"/>
        <v>Q1</v>
      </c>
      <c r="E224" s="34">
        <f t="shared" si="14"/>
        <v>2024</v>
      </c>
      <c r="F224" s="31" t="str">
        <f>PROPER(TRIM('1. Raw Data'!C224))</f>
        <v>Eastgate</v>
      </c>
      <c r="G224" s="31" t="str">
        <f>TRIM('1. Raw Data'!D224)</f>
        <v>Mortgage</v>
      </c>
      <c r="H224" s="31" t="str">
        <f>TRIM('1. Raw Data'!E224)</f>
        <v>Loans</v>
      </c>
      <c r="I224" s="31" t="str">
        <f>TRIM('1. Raw Data'!F224)</f>
        <v>Rachel Moore</v>
      </c>
      <c r="J224" s="33" t="str">
        <f>PROPER(TRIM('1. Raw Data'!G224))</f>
        <v>Active</v>
      </c>
      <c r="K224" s="33" t="str">
        <f>TRIM('1. Raw Data'!H224)</f>
        <v>High</v>
      </c>
      <c r="L224" s="35">
        <f>IFERROR(IF('1. Raw Data'!I224="",AVERAGE(IF('1. Raw Data'!I3:I402&lt;&gt;"",'1. Raw Data'!I3:I402)),VALUE('1. Raw Data'!I224)),0)</f>
        <v>75546.67</v>
      </c>
      <c r="M224" s="36">
        <f>IFERROR(IF('1. Raw Data'!J224="",AVERAGE(IF('1. Raw Data'!J3:J402&lt;&gt;"",'1. Raw Data'!J3:J402)),VALUE('1. Raw Data'!J224)),0)</f>
        <v>9.93</v>
      </c>
      <c r="N224" s="34">
        <f>'1. Raw Data'!K224</f>
        <v>12</v>
      </c>
      <c r="O224" s="35">
        <f t="shared" si="15"/>
        <v>6639.293245799402</v>
      </c>
      <c r="P224" s="34">
        <f>'1. Raw Data'!L224</f>
        <v>55</v>
      </c>
      <c r="Q224" s="33" t="str">
        <f>TRIM('1. Raw Data'!M224)</f>
        <v>Standard</v>
      </c>
    </row>
    <row r="225" spans="1:17" ht="16.5" customHeight="1" x14ac:dyDescent="0.45">
      <c r="A225" s="25" t="str">
        <f>'1. Raw Data'!A225</f>
        <v>TXN-100223</v>
      </c>
      <c r="B225" s="26">
        <f>IFERROR(DATEVALUE('1. Raw Data'!B225),"")</f>
        <v>45375</v>
      </c>
      <c r="C225" s="27" t="str">
        <f t="shared" si="12"/>
        <v>Mar</v>
      </c>
      <c r="D225" s="27" t="str">
        <f t="shared" si="13"/>
        <v>Q1</v>
      </c>
      <c r="E225" s="28">
        <f t="shared" si="14"/>
        <v>2024</v>
      </c>
      <c r="F225" s="25" t="str">
        <f>PROPER(TRIM('1. Raw Data'!C225))</f>
        <v>Westside</v>
      </c>
      <c r="G225" s="25" t="str">
        <f>TRIM('1. Raw Data'!D225)</f>
        <v>Personal Loan</v>
      </c>
      <c r="H225" s="25" t="str">
        <f>TRIM('1. Raw Data'!E225)</f>
        <v>Loans</v>
      </c>
      <c r="I225" s="25" t="str">
        <f>TRIM('1. Raw Data'!F225)</f>
        <v>Maria Lopez</v>
      </c>
      <c r="J225" s="27" t="str">
        <f>PROPER(TRIM('1. Raw Data'!G225))</f>
        <v>Active</v>
      </c>
      <c r="K225" s="27" t="str">
        <f>TRIM('1. Raw Data'!H225)</f>
        <v>Medium</v>
      </c>
      <c r="L225" s="29">
        <f>IFERROR(IF('1. Raw Data'!I225="",AVERAGE(IF('1. Raw Data'!I3:I402&lt;&gt;"",'1. Raw Data'!I3:I402)),VALUE('1. Raw Data'!I225)),0)</f>
        <v>167174.04</v>
      </c>
      <c r="M225" s="30">
        <f>IFERROR(IF('1. Raw Data'!J225="",AVERAGE(IF('1. Raw Data'!J3:J402&lt;&gt;"",'1. Raw Data'!J3:J402)),VALUE('1. Raw Data'!J225)),0)</f>
        <v>2.67</v>
      </c>
      <c r="N225" s="28">
        <f>'1. Raw Data'!K225</f>
        <v>360</v>
      </c>
      <c r="O225" s="29">
        <f t="shared" si="15"/>
        <v>675.41012837997323</v>
      </c>
      <c r="P225" s="28">
        <f>'1. Raw Data'!L225</f>
        <v>55</v>
      </c>
      <c r="Q225" s="27" t="str">
        <f>TRIM('1. Raw Data'!M225)</f>
        <v>Premium</v>
      </c>
    </row>
    <row r="226" spans="1:17" ht="16.5" customHeight="1" x14ac:dyDescent="0.45">
      <c r="A226" s="31" t="str">
        <f>'1. Raw Data'!A226</f>
        <v>TXN-100224</v>
      </c>
      <c r="B226" s="32">
        <f>IFERROR(DATEVALUE('1. Raw Data'!B226),"")</f>
        <v>45570</v>
      </c>
      <c r="C226" s="33" t="str">
        <f t="shared" si="12"/>
        <v>Oct</v>
      </c>
      <c r="D226" s="33" t="str">
        <f t="shared" si="13"/>
        <v>Q4</v>
      </c>
      <c r="E226" s="34">
        <f t="shared" si="14"/>
        <v>2024</v>
      </c>
      <c r="F226" s="31" t="str">
        <f>PROPER(TRIM('1. Raw Data'!C226))</f>
        <v>Westside</v>
      </c>
      <c r="G226" s="31" t="str">
        <f>TRIM('1. Raw Data'!D226)</f>
        <v>Credit Card</v>
      </c>
      <c r="H226" s="31" t="str">
        <f>TRIM('1. Raw Data'!E226)</f>
        <v>Cards</v>
      </c>
      <c r="I226" s="31" t="str">
        <f>TRIM('1. Raw Data'!F226)</f>
        <v>Sarah Chen</v>
      </c>
      <c r="J226" s="33" t="str">
        <f>PROPER(TRIM('1. Raw Data'!G226))</f>
        <v>Active</v>
      </c>
      <c r="K226" s="33" t="str">
        <f>TRIM('1. Raw Data'!H226)</f>
        <v>Low</v>
      </c>
      <c r="L226" s="35">
        <f>IFERROR(IF('1. Raw Data'!I226="",AVERAGE(IF('1. Raw Data'!I3:I402&lt;&gt;"",'1. Raw Data'!I3:I402)),VALUE('1. Raw Data'!I226)),0)</f>
        <v>97976.93</v>
      </c>
      <c r="M226" s="36">
        <f>IFERROR(IF('1. Raw Data'!J226="",AVERAGE(IF('1. Raw Data'!J3:J402&lt;&gt;"",'1. Raw Data'!J3:J402)),VALUE('1. Raw Data'!J226)),0)</f>
        <v>8.59</v>
      </c>
      <c r="N226" s="34">
        <f>'1. Raw Data'!K226</f>
        <v>12</v>
      </c>
      <c r="O226" s="35">
        <f t="shared" si="15"/>
        <v>8549.6101816836344</v>
      </c>
      <c r="P226" s="34">
        <f>'1. Raw Data'!L226</f>
        <v>24</v>
      </c>
      <c r="Q226" s="33" t="str">
        <f>TRIM('1. Raw Data'!M226)</f>
        <v>Standard</v>
      </c>
    </row>
    <row r="227" spans="1:17" ht="16.5" customHeight="1" x14ac:dyDescent="0.45">
      <c r="A227" s="25" t="str">
        <f>'1. Raw Data'!A227</f>
        <v>TXN-100225</v>
      </c>
      <c r="B227" s="26">
        <f>IFERROR(DATEVALUE('1. Raw Data'!B227),"")</f>
        <v>45398</v>
      </c>
      <c r="C227" s="27" t="str">
        <f t="shared" si="12"/>
        <v>Apr</v>
      </c>
      <c r="D227" s="27" t="str">
        <f t="shared" si="13"/>
        <v>Q2</v>
      </c>
      <c r="E227" s="28">
        <f t="shared" si="14"/>
        <v>2024</v>
      </c>
      <c r="F227" s="25" t="str">
        <f>PROPER(TRIM('1. Raw Data'!C227))</f>
        <v>Northpark</v>
      </c>
      <c r="G227" s="25" t="str">
        <f>TRIM('1. Raw Data'!D227)</f>
        <v>Mortgage</v>
      </c>
      <c r="H227" s="25" t="str">
        <f>TRIM('1. Raw Data'!E227)</f>
        <v>Loans</v>
      </c>
      <c r="I227" s="25" t="str">
        <f>TRIM('1. Raw Data'!F227)</f>
        <v>Rachel Moore</v>
      </c>
      <c r="J227" s="27" t="str">
        <f>PROPER(TRIM('1. Raw Data'!G227))</f>
        <v>Pending</v>
      </c>
      <c r="K227" s="27" t="str">
        <f>TRIM('1. Raw Data'!H227)</f>
        <v>Low</v>
      </c>
      <c r="L227" s="29">
        <f>IFERROR(IF('1. Raw Data'!I227="",AVERAGE(IF('1. Raw Data'!I3:I402&lt;&gt;"",'1. Raw Data'!I3:I402)),VALUE('1. Raw Data'!I227)),0)</f>
        <v>69108.66</v>
      </c>
      <c r="M227" s="30">
        <f>IFERROR(IF('1. Raw Data'!J227="",AVERAGE(IF('1. Raw Data'!J3:J402&lt;&gt;"",'1. Raw Data'!J3:J402)),VALUE('1. Raw Data'!J227)),0)</f>
        <v>11.54</v>
      </c>
      <c r="N227" s="28">
        <f>'1. Raw Data'!K227</f>
        <v>240</v>
      </c>
      <c r="O227" s="29">
        <f t="shared" si="15"/>
        <v>738.9008782385705</v>
      </c>
      <c r="P227" s="28">
        <f>'1. Raw Data'!L227</f>
        <v>45</v>
      </c>
      <c r="Q227" s="27" t="str">
        <f>TRIM('1. Raw Data'!M227)</f>
        <v>Standard</v>
      </c>
    </row>
    <row r="228" spans="1:17" ht="16.5" customHeight="1" x14ac:dyDescent="0.45">
      <c r="A228" s="31" t="str">
        <f>'1. Raw Data'!A228</f>
        <v>TXN-100226</v>
      </c>
      <c r="B228" s="32">
        <f>IFERROR(DATEVALUE('1. Raw Data'!B228),"")</f>
        <v>45313</v>
      </c>
      <c r="C228" s="33" t="str">
        <f t="shared" si="12"/>
        <v>Jan</v>
      </c>
      <c r="D228" s="33" t="str">
        <f t="shared" si="13"/>
        <v>Q1</v>
      </c>
      <c r="E228" s="34">
        <f t="shared" si="14"/>
        <v>2024</v>
      </c>
      <c r="F228" s="31" t="str">
        <f>PROPER(TRIM('1. Raw Data'!C228))</f>
        <v>Uptown</v>
      </c>
      <c r="G228" s="31" t="str">
        <f>TRIM('1. Raw Data'!D228)</f>
        <v>Auto Loan</v>
      </c>
      <c r="H228" s="31" t="str">
        <f>TRIM('1. Raw Data'!E228)</f>
        <v>Loans</v>
      </c>
      <c r="I228" s="31" t="str">
        <f>TRIM('1. Raw Data'!F228)</f>
        <v>James Patel</v>
      </c>
      <c r="J228" s="33" t="str">
        <f>PROPER(TRIM('1. Raw Data'!G228))</f>
        <v>Pending</v>
      </c>
      <c r="K228" s="33" t="str">
        <f>TRIM('1. Raw Data'!H228)</f>
        <v>Low</v>
      </c>
      <c r="L228" s="35">
        <f>IFERROR(IF('1. Raw Data'!I228="",AVERAGE(IF('1. Raw Data'!I3:I402&lt;&gt;"",'1. Raw Data'!I3:I402)),VALUE('1. Raw Data'!I228)),0)</f>
        <v>70843.78</v>
      </c>
      <c r="M228" s="36">
        <f>IFERROR(IF('1. Raw Data'!J228="",AVERAGE(IF('1. Raw Data'!J3:J402&lt;&gt;"",'1. Raw Data'!J3:J402)),VALUE('1. Raw Data'!J228)),0)</f>
        <v>11.8</v>
      </c>
      <c r="N228" s="34">
        <f>'1. Raw Data'!K228</f>
        <v>6</v>
      </c>
      <c r="O228" s="35">
        <f t="shared" si="15"/>
        <v>12216.977957187572</v>
      </c>
      <c r="P228" s="34">
        <f>'1. Raw Data'!L228</f>
        <v>54</v>
      </c>
      <c r="Q228" s="33" t="str">
        <f>TRIM('1. Raw Data'!M228)</f>
        <v>Standard</v>
      </c>
    </row>
    <row r="229" spans="1:17" ht="16.5" customHeight="1" x14ac:dyDescent="0.45">
      <c r="A229" s="25" t="str">
        <f>'1. Raw Data'!A229</f>
        <v>TXN-100227</v>
      </c>
      <c r="B229" s="26">
        <f>IFERROR(DATEVALUE('1. Raw Data'!B229),"")</f>
        <v>45402</v>
      </c>
      <c r="C229" s="27" t="str">
        <f t="shared" si="12"/>
        <v>Apr</v>
      </c>
      <c r="D229" s="27" t="str">
        <f t="shared" si="13"/>
        <v>Q2</v>
      </c>
      <c r="E229" s="28">
        <f t="shared" si="14"/>
        <v>2024</v>
      </c>
      <c r="F229" s="25" t="str">
        <f>PROPER(TRIM('1. Raw Data'!C229))</f>
        <v>Eastgate</v>
      </c>
      <c r="G229" s="25" t="str">
        <f>TRIM('1. Raw Data'!D229)</f>
        <v>Fixed Deposit</v>
      </c>
      <c r="H229" s="25" t="str">
        <f>TRIM('1. Raw Data'!E229)</f>
        <v>Deposits</v>
      </c>
      <c r="I229" s="25" t="str">
        <f>TRIM('1. Raw Data'!F229)</f>
        <v>Maria Lopez</v>
      </c>
      <c r="J229" s="27" t="str">
        <f>PROPER(TRIM('1. Raw Data'!G229))</f>
        <v>Active</v>
      </c>
      <c r="K229" s="27" t="str">
        <f>TRIM('1. Raw Data'!H229)</f>
        <v>Medium</v>
      </c>
      <c r="L229" s="29">
        <f>IFERROR(IF('1. Raw Data'!I229="",AVERAGE(IF('1. Raw Data'!I3:I402&lt;&gt;"",'1. Raw Data'!I3:I402)),VALUE('1. Raw Data'!I229)),0)</f>
        <v>93294.38</v>
      </c>
      <c r="M229" s="30">
        <f>IFERROR(IF('1. Raw Data'!J229="",AVERAGE(IF('1. Raw Data'!J3:J402&lt;&gt;"",'1. Raw Data'!J3:J402)),VALUE('1. Raw Data'!J229)),0)</f>
        <v>12.77</v>
      </c>
      <c r="N229" s="28">
        <f>'1. Raw Data'!K229</f>
        <v>360</v>
      </c>
      <c r="O229" s="29">
        <f t="shared" si="15"/>
        <v>1015.2771653523694</v>
      </c>
      <c r="P229" s="28">
        <f>'1. Raw Data'!L229</f>
        <v>32</v>
      </c>
      <c r="Q229" s="27" t="str">
        <f>TRIM('1. Raw Data'!M229)</f>
        <v>Standard</v>
      </c>
    </row>
    <row r="230" spans="1:17" ht="16.5" customHeight="1" x14ac:dyDescent="0.45">
      <c r="A230" s="31" t="str">
        <f>'1. Raw Data'!A230</f>
        <v>TXN-100228</v>
      </c>
      <c r="B230" s="32">
        <f>IFERROR(DATEVALUE('1. Raw Data'!B230),"")</f>
        <v>45546</v>
      </c>
      <c r="C230" s="33" t="str">
        <f t="shared" si="12"/>
        <v>Sep</v>
      </c>
      <c r="D230" s="33" t="str">
        <f t="shared" si="13"/>
        <v>Q3</v>
      </c>
      <c r="E230" s="34">
        <f t="shared" si="14"/>
        <v>2024</v>
      </c>
      <c r="F230" s="31" t="str">
        <f>PROPER(TRIM('1. Raw Data'!C230))</f>
        <v>Uptown</v>
      </c>
      <c r="G230" s="31" t="str">
        <f>TRIM('1. Raw Data'!D230)</f>
        <v>Fixed Deposit</v>
      </c>
      <c r="H230" s="31" t="str">
        <f>TRIM('1. Raw Data'!E230)</f>
        <v>Deposits</v>
      </c>
      <c r="I230" s="31" t="str">
        <f>TRIM('1. Raw Data'!F230)</f>
        <v>Rachel Moore</v>
      </c>
      <c r="J230" s="33" t="str">
        <f>PROPER(TRIM('1. Raw Data'!G230))</f>
        <v>Inactive</v>
      </c>
      <c r="K230" s="33" t="str">
        <f>TRIM('1. Raw Data'!H230)</f>
        <v>Low</v>
      </c>
      <c r="L230" s="35">
        <f>IFERROR(IF('1. Raw Data'!I230="",AVERAGE(IF('1. Raw Data'!I3:I402&lt;&gt;"",'1. Raw Data'!I3:I402)),VALUE('1. Raw Data'!I230)),0)</f>
        <v>175670.9</v>
      </c>
      <c r="M230" s="36">
        <f>IFERROR(IF('1. Raw Data'!J230="",AVERAGE(IF('1. Raw Data'!J3:J402&lt;&gt;"",'1. Raw Data'!J3:J402)),VALUE('1. Raw Data'!J230)),0)</f>
        <v>4.4000000000000004</v>
      </c>
      <c r="N230" s="34">
        <f>'1. Raw Data'!K230</f>
        <v>360</v>
      </c>
      <c r="O230" s="35">
        <f t="shared" si="15"/>
        <v>879.69119779557434</v>
      </c>
      <c r="P230" s="34">
        <f>'1. Raw Data'!L230</f>
        <v>23</v>
      </c>
      <c r="Q230" s="33" t="str">
        <f>TRIM('1. Raw Data'!M230)</f>
        <v>Premium</v>
      </c>
    </row>
    <row r="231" spans="1:17" ht="16.5" customHeight="1" x14ac:dyDescent="0.45">
      <c r="A231" s="25" t="str">
        <f>'1. Raw Data'!A231</f>
        <v>TXN-100229</v>
      </c>
      <c r="B231" s="26">
        <f>IFERROR(DATEVALUE('1. Raw Data'!B231),"")</f>
        <v>45591</v>
      </c>
      <c r="C231" s="27" t="str">
        <f t="shared" si="12"/>
        <v>Oct</v>
      </c>
      <c r="D231" s="27" t="str">
        <f t="shared" si="13"/>
        <v>Q4</v>
      </c>
      <c r="E231" s="28">
        <f t="shared" si="14"/>
        <v>2024</v>
      </c>
      <c r="F231" s="25" t="str">
        <f>PROPER(TRIM('1. Raw Data'!C231))</f>
        <v>Uptown</v>
      </c>
      <c r="G231" s="25" t="str">
        <f>TRIM('1. Raw Data'!D231)</f>
        <v>Savings Account</v>
      </c>
      <c r="H231" s="25" t="str">
        <f>TRIM('1. Raw Data'!E231)</f>
        <v>Deposits</v>
      </c>
      <c r="I231" s="25" t="str">
        <f>TRIM('1. Raw Data'!F231)</f>
        <v>David Kim</v>
      </c>
      <c r="J231" s="27" t="str">
        <f>PROPER(TRIM('1. Raw Data'!G231))</f>
        <v>Active</v>
      </c>
      <c r="K231" s="27" t="str">
        <f>TRIM('1. Raw Data'!H231)</f>
        <v>Medium</v>
      </c>
      <c r="L231" s="29">
        <f>IFERROR(IF('1. Raw Data'!I231="",AVERAGE(IF('1. Raw Data'!I3:I402&lt;&gt;"",'1. Raw Data'!I3:I402)),VALUE('1. Raw Data'!I231)),0)</f>
        <v>112255.63</v>
      </c>
      <c r="M231" s="30">
        <f>IFERROR(IF('1. Raw Data'!J231="",AVERAGE(IF('1. Raw Data'!J3:J402&lt;&gt;"",'1. Raw Data'!J3:J402)),VALUE('1. Raw Data'!J231)),0)</f>
        <v>9.91</v>
      </c>
      <c r="N231" s="28">
        <f>'1. Raw Data'!K231</f>
        <v>24</v>
      </c>
      <c r="O231" s="29">
        <f t="shared" si="15"/>
        <v>5175.365986121401</v>
      </c>
      <c r="P231" s="28">
        <f>'1. Raw Data'!L231</f>
        <v>44</v>
      </c>
      <c r="Q231" s="27" t="str">
        <f>TRIM('1. Raw Data'!M231)</f>
        <v>Premium</v>
      </c>
    </row>
    <row r="232" spans="1:17" ht="16.5" customHeight="1" x14ac:dyDescent="0.45">
      <c r="A232" s="31" t="str">
        <f>'1. Raw Data'!A232</f>
        <v>TXN-100230</v>
      </c>
      <c r="B232" s="32">
        <f>IFERROR(DATEVALUE('1. Raw Data'!B232),"")</f>
        <v>45604</v>
      </c>
      <c r="C232" s="33" t="str">
        <f t="shared" si="12"/>
        <v>Nov</v>
      </c>
      <c r="D232" s="33" t="str">
        <f t="shared" si="13"/>
        <v>Q4</v>
      </c>
      <c r="E232" s="34">
        <f t="shared" si="14"/>
        <v>2024</v>
      </c>
      <c r="F232" s="31" t="str">
        <f>PROPER(TRIM('1. Raw Data'!C232))</f>
        <v>Uptown</v>
      </c>
      <c r="G232" s="31" t="str">
        <f>TRIM('1. Raw Data'!D232)</f>
        <v>Personal Loan</v>
      </c>
      <c r="H232" s="31" t="str">
        <f>TRIM('1. Raw Data'!E232)</f>
        <v>Loans</v>
      </c>
      <c r="I232" s="31" t="str">
        <f>TRIM('1. Raw Data'!F232)</f>
        <v>Maria Lopez</v>
      </c>
      <c r="J232" s="33" t="str">
        <f>PROPER(TRIM('1. Raw Data'!G232))</f>
        <v>Active</v>
      </c>
      <c r="K232" s="33" t="str">
        <f>TRIM('1. Raw Data'!H232)</f>
        <v>Medium</v>
      </c>
      <c r="L232" s="35">
        <f>IFERROR(IF('1. Raw Data'!I232="",AVERAGE(IF('1. Raw Data'!I3:I402&lt;&gt;"",'1. Raw Data'!I3:I402)),VALUE('1. Raw Data'!I232)),0)</f>
        <v>219496.64</v>
      </c>
      <c r="M232" s="36">
        <f>IFERROR(IF('1. Raw Data'!J232="",AVERAGE(IF('1. Raw Data'!J3:J402&lt;&gt;"",'1. Raw Data'!J3:J402)),VALUE('1. Raw Data'!J232)),0)</f>
        <v>9.5399999999999991</v>
      </c>
      <c r="N232" s="34">
        <f>'1. Raw Data'!K232</f>
        <v>24</v>
      </c>
      <c r="O232" s="35">
        <f t="shared" si="15"/>
        <v>10082.117774010678</v>
      </c>
      <c r="P232" s="34">
        <f>'1. Raw Data'!L232</f>
        <v>62</v>
      </c>
      <c r="Q232" s="33" t="str">
        <f>TRIM('1. Raw Data'!M232)</f>
        <v>Premium</v>
      </c>
    </row>
    <row r="233" spans="1:17" ht="16.5" customHeight="1" x14ac:dyDescent="0.45">
      <c r="A233" s="25" t="str">
        <f>'1. Raw Data'!A233</f>
        <v>TXN-100231</v>
      </c>
      <c r="B233" s="26">
        <f>IFERROR(DATEVALUE('1. Raw Data'!B233),"")</f>
        <v>45292</v>
      </c>
      <c r="C233" s="27" t="str">
        <f t="shared" si="12"/>
        <v>Jan</v>
      </c>
      <c r="D233" s="27" t="str">
        <f t="shared" si="13"/>
        <v>Q1</v>
      </c>
      <c r="E233" s="28">
        <f t="shared" si="14"/>
        <v>2024</v>
      </c>
      <c r="F233" s="25" t="str">
        <f>PROPER(TRIM('1. Raw Data'!C233))</f>
        <v>Westside</v>
      </c>
      <c r="G233" s="25" t="str">
        <f>TRIM('1. Raw Data'!D233)</f>
        <v>Personal Loan</v>
      </c>
      <c r="H233" s="25" t="str">
        <f>TRIM('1. Raw Data'!E233)</f>
        <v>Loans</v>
      </c>
      <c r="I233" s="25" t="str">
        <f>TRIM('1. Raw Data'!F233)</f>
        <v>Rachel Moore</v>
      </c>
      <c r="J233" s="27" t="str">
        <f>PROPER(TRIM('1. Raw Data'!G233))</f>
        <v>Inactive</v>
      </c>
      <c r="K233" s="27" t="str">
        <f>TRIM('1. Raw Data'!H233)</f>
        <v>Medium</v>
      </c>
      <c r="L233" s="29">
        <f>IFERROR(IF('1. Raw Data'!I233="",AVERAGE(IF('1. Raw Data'!I3:I402&lt;&gt;"",'1. Raw Data'!I3:I402)),VALUE('1. Raw Data'!I233)),0)</f>
        <v>232816.21</v>
      </c>
      <c r="M233" s="30">
        <f>IFERROR(IF('1. Raw Data'!J233="",AVERAGE(IF('1. Raw Data'!J3:J402&lt;&gt;"",'1. Raw Data'!J3:J402)),VALUE('1. Raw Data'!J233)),0)</f>
        <v>12.57</v>
      </c>
      <c r="N233" s="28">
        <f>'1. Raw Data'!K233</f>
        <v>120</v>
      </c>
      <c r="O233" s="29">
        <f t="shared" si="15"/>
        <v>3417.3985629393778</v>
      </c>
      <c r="P233" s="28">
        <f>'1. Raw Data'!L233</f>
        <v>72</v>
      </c>
      <c r="Q233" s="27" t="str">
        <f>TRIM('1. Raw Data'!M233)</f>
        <v>Premium</v>
      </c>
    </row>
    <row r="234" spans="1:17" ht="16.5" customHeight="1" x14ac:dyDescent="0.45">
      <c r="A234" s="31" t="str">
        <f>'1. Raw Data'!A234</f>
        <v>TXN-100232</v>
      </c>
      <c r="B234" s="32">
        <f>IFERROR(DATEVALUE('1. Raw Data'!B234),"")</f>
        <v>45646</v>
      </c>
      <c r="C234" s="33" t="str">
        <f t="shared" si="12"/>
        <v>Dec</v>
      </c>
      <c r="D234" s="33" t="str">
        <f t="shared" si="13"/>
        <v>Q4</v>
      </c>
      <c r="E234" s="34">
        <f t="shared" si="14"/>
        <v>2024</v>
      </c>
      <c r="F234" s="31" t="str">
        <f>PROPER(TRIM('1. Raw Data'!C234))</f>
        <v>Westside</v>
      </c>
      <c r="G234" s="31" t="str">
        <f>TRIM('1. Raw Data'!D234)</f>
        <v>Personal Loan</v>
      </c>
      <c r="H234" s="31" t="str">
        <f>TRIM('1. Raw Data'!E234)</f>
        <v>Loans</v>
      </c>
      <c r="I234" s="31" t="str">
        <f>TRIM('1. Raw Data'!F234)</f>
        <v>James Patel</v>
      </c>
      <c r="J234" s="33" t="str">
        <f>PROPER(TRIM('1. Raw Data'!G234))</f>
        <v>Inactive</v>
      </c>
      <c r="K234" s="33" t="str">
        <f>TRIM('1. Raw Data'!H234)</f>
        <v>High</v>
      </c>
      <c r="L234" s="35">
        <f>IFERROR(IF('1. Raw Data'!I234="",AVERAGE(IF('1. Raw Data'!I3:I402&lt;&gt;"",'1. Raw Data'!I3:I402)),VALUE('1. Raw Data'!I234)),0)</f>
        <v>118580.64</v>
      </c>
      <c r="M234" s="36">
        <f>IFERROR(IF('1. Raw Data'!J234="",AVERAGE(IF('1. Raw Data'!J3:J402&lt;&gt;"",'1. Raw Data'!J3:J402)),VALUE('1. Raw Data'!J234)),0)</f>
        <v>8.14</v>
      </c>
      <c r="N234" s="34">
        <f>'1. Raw Data'!K234</f>
        <v>48</v>
      </c>
      <c r="O234" s="35">
        <f t="shared" si="15"/>
        <v>2902.6989621991179</v>
      </c>
      <c r="P234" s="34">
        <f>'1. Raw Data'!L234</f>
        <v>48</v>
      </c>
      <c r="Q234" s="33" t="str">
        <f>TRIM('1. Raw Data'!M234)</f>
        <v>Premium</v>
      </c>
    </row>
    <row r="235" spans="1:17" ht="16.5" customHeight="1" x14ac:dyDescent="0.45">
      <c r="A235" s="25" t="str">
        <f>'1. Raw Data'!A235</f>
        <v>TXN-100233</v>
      </c>
      <c r="B235" s="26">
        <f>IFERROR(DATEVALUE('1. Raw Data'!B235),"")</f>
        <v>45311</v>
      </c>
      <c r="C235" s="27" t="str">
        <f t="shared" si="12"/>
        <v>Jan</v>
      </c>
      <c r="D235" s="27" t="str">
        <f t="shared" si="13"/>
        <v>Q1</v>
      </c>
      <c r="E235" s="28">
        <f t="shared" si="14"/>
        <v>2024</v>
      </c>
      <c r="F235" s="25" t="str">
        <f>PROPER(TRIM('1. Raw Data'!C235))</f>
        <v>Downtown</v>
      </c>
      <c r="G235" s="25" t="str">
        <f>TRIM('1. Raw Data'!D235)</f>
        <v>Auto Loan</v>
      </c>
      <c r="H235" s="25" t="str">
        <f>TRIM('1. Raw Data'!E235)</f>
        <v>Loans</v>
      </c>
      <c r="I235" s="25" t="str">
        <f>TRIM('1. Raw Data'!F235)</f>
        <v>David Kim</v>
      </c>
      <c r="J235" s="27" t="str">
        <f>PROPER(TRIM('1. Raw Data'!G235))</f>
        <v>Active</v>
      </c>
      <c r="K235" s="27" t="str">
        <f>TRIM('1. Raw Data'!H235)</f>
        <v>Low</v>
      </c>
      <c r="L235" s="29">
        <f>IFERROR(IF('1. Raw Data'!I235="",AVERAGE(IF('1. Raw Data'!I3:I402&lt;&gt;"",'1. Raw Data'!I3:I402)),VALUE('1. Raw Data'!I235)),0)</f>
        <v>184508.72</v>
      </c>
      <c r="M235" s="30">
        <f>IFERROR(IF('1. Raw Data'!J235="",AVERAGE(IF('1. Raw Data'!J3:J402&lt;&gt;"",'1. Raw Data'!J3:J402)),VALUE('1. Raw Data'!J235)),0)</f>
        <v>3.68</v>
      </c>
      <c r="N235" s="28">
        <f>'1. Raw Data'!K235</f>
        <v>48</v>
      </c>
      <c r="O235" s="29">
        <f t="shared" si="15"/>
        <v>4139.6637513912538</v>
      </c>
      <c r="P235" s="28">
        <f>'1. Raw Data'!L235</f>
        <v>47</v>
      </c>
      <c r="Q235" s="27" t="str">
        <f>TRIM('1. Raw Data'!M235)</f>
        <v>Premium</v>
      </c>
    </row>
    <row r="236" spans="1:17" ht="16.5" customHeight="1" x14ac:dyDescent="0.45">
      <c r="A236" s="31" t="str">
        <f>'1. Raw Data'!A236</f>
        <v>TXN-100234</v>
      </c>
      <c r="B236" s="32">
        <f>IFERROR(DATEVALUE('1. Raw Data'!B236),"")</f>
        <v>45629</v>
      </c>
      <c r="C236" s="33" t="str">
        <f t="shared" si="12"/>
        <v>Dec</v>
      </c>
      <c r="D236" s="33" t="str">
        <f t="shared" si="13"/>
        <v>Q4</v>
      </c>
      <c r="E236" s="34">
        <f t="shared" si="14"/>
        <v>2024</v>
      </c>
      <c r="F236" s="31" t="str">
        <f>PROPER(TRIM('1. Raw Data'!C236))</f>
        <v>Downtown</v>
      </c>
      <c r="G236" s="31" t="str">
        <f>TRIM('1. Raw Data'!D236)</f>
        <v>Savings Account</v>
      </c>
      <c r="H236" s="31" t="str">
        <f>TRIM('1. Raw Data'!E236)</f>
        <v>Deposits</v>
      </c>
      <c r="I236" s="31" t="str">
        <f>TRIM('1. Raw Data'!F236)</f>
        <v>Sarah Chen</v>
      </c>
      <c r="J236" s="33" t="str">
        <f>PROPER(TRIM('1. Raw Data'!G236))</f>
        <v>Active</v>
      </c>
      <c r="K236" s="33" t="str">
        <f>TRIM('1. Raw Data'!H236)</f>
        <v>High</v>
      </c>
      <c r="L236" s="35">
        <f>IFERROR(IF('1. Raw Data'!I236="",AVERAGE(IF('1. Raw Data'!I3:I402&lt;&gt;"",'1. Raw Data'!I3:I402)),VALUE('1. Raw Data'!I236)),0)</f>
        <v>49038.63</v>
      </c>
      <c r="M236" s="36">
        <f>IFERROR(IF('1. Raw Data'!J236="",AVERAGE(IF('1. Raw Data'!J3:J402&lt;&gt;"",'1. Raw Data'!J3:J402)),VALUE('1. Raw Data'!J236)),0)</f>
        <v>11.88</v>
      </c>
      <c r="N236" s="34">
        <f>'1. Raw Data'!K236</f>
        <v>60</v>
      </c>
      <c r="O236" s="35">
        <f t="shared" si="15"/>
        <v>1087.8658714796625</v>
      </c>
      <c r="P236" s="34">
        <f>'1. Raw Data'!L236</f>
        <v>64</v>
      </c>
      <c r="Q236" s="33" t="str">
        <f>TRIM('1. Raw Data'!M236)</f>
        <v>Standard</v>
      </c>
    </row>
    <row r="237" spans="1:17" ht="16.5" customHeight="1" x14ac:dyDescent="0.45">
      <c r="A237" s="25" t="str">
        <f>'1. Raw Data'!A237</f>
        <v>TXN-100235</v>
      </c>
      <c r="B237" s="26">
        <f>IFERROR(DATEVALUE('1. Raw Data'!B237),"")</f>
        <v>45292</v>
      </c>
      <c r="C237" s="27" t="str">
        <f t="shared" si="12"/>
        <v>Jan</v>
      </c>
      <c r="D237" s="27" t="str">
        <f t="shared" si="13"/>
        <v>Q1</v>
      </c>
      <c r="E237" s="28">
        <f t="shared" si="14"/>
        <v>2024</v>
      </c>
      <c r="F237" s="25" t="str">
        <f>PROPER(TRIM('1. Raw Data'!C237))</f>
        <v>Northpark</v>
      </c>
      <c r="G237" s="25" t="str">
        <f>TRIM('1. Raw Data'!D237)</f>
        <v>Mortgage</v>
      </c>
      <c r="H237" s="25" t="str">
        <f>TRIM('1. Raw Data'!E237)</f>
        <v>Loans</v>
      </c>
      <c r="I237" s="25" t="str">
        <f>TRIM('1. Raw Data'!F237)</f>
        <v>Maria Lopez</v>
      </c>
      <c r="J237" s="27" t="str">
        <f>PROPER(TRIM('1. Raw Data'!G237))</f>
        <v>Active</v>
      </c>
      <c r="K237" s="27" t="str">
        <f>TRIM('1. Raw Data'!H237)</f>
        <v>Medium</v>
      </c>
      <c r="L237" s="29">
        <f>IFERROR(IF('1. Raw Data'!I237="",AVERAGE(IF('1. Raw Data'!I3:I402&lt;&gt;"",'1. Raw Data'!I3:I402)),VALUE('1. Raw Data'!I237)),0)</f>
        <v>220839.47</v>
      </c>
      <c r="M237" s="30">
        <f>IFERROR(IF('1. Raw Data'!J237="",AVERAGE(IF('1. Raw Data'!J3:J402&lt;&gt;"",'1. Raw Data'!J3:J402)),VALUE('1. Raw Data'!J237)),0)</f>
        <v>10.71</v>
      </c>
      <c r="N237" s="28">
        <f>'1. Raw Data'!K237</f>
        <v>24</v>
      </c>
      <c r="O237" s="29">
        <f t="shared" si="15"/>
        <v>10263.141868853034</v>
      </c>
      <c r="P237" s="28">
        <f>'1. Raw Data'!L237</f>
        <v>30</v>
      </c>
      <c r="Q237" s="27" t="str">
        <f>TRIM('1. Raw Data'!M237)</f>
        <v>Premium</v>
      </c>
    </row>
    <row r="238" spans="1:17" ht="16.5" customHeight="1" x14ac:dyDescent="0.45">
      <c r="A238" s="31" t="str">
        <f>'1. Raw Data'!A238</f>
        <v>TXN-100236</v>
      </c>
      <c r="B238" s="32">
        <f>IFERROR(DATEVALUE('1. Raw Data'!B238),"")</f>
        <v>45628</v>
      </c>
      <c r="C238" s="33" t="str">
        <f t="shared" si="12"/>
        <v>Dec</v>
      </c>
      <c r="D238" s="33" t="str">
        <f t="shared" si="13"/>
        <v>Q4</v>
      </c>
      <c r="E238" s="34">
        <f t="shared" si="14"/>
        <v>2024</v>
      </c>
      <c r="F238" s="31" t="str">
        <f>PROPER(TRIM('1. Raw Data'!C238))</f>
        <v>Uptown</v>
      </c>
      <c r="G238" s="31" t="str">
        <f>TRIM('1. Raw Data'!D238)</f>
        <v>Fixed Deposit</v>
      </c>
      <c r="H238" s="31" t="str">
        <f>TRIM('1. Raw Data'!E238)</f>
        <v>Deposits</v>
      </c>
      <c r="I238" s="31" t="str">
        <f>TRIM('1. Raw Data'!F238)</f>
        <v>Maria Lopez</v>
      </c>
      <c r="J238" s="33" t="str">
        <f>PROPER(TRIM('1. Raw Data'!G238))</f>
        <v>Active</v>
      </c>
      <c r="K238" s="33" t="str">
        <f>TRIM('1. Raw Data'!H238)</f>
        <v>Medium</v>
      </c>
      <c r="L238" s="35">
        <f>IFERROR(IF('1. Raw Data'!I238="",AVERAGE(IF('1. Raw Data'!I3:I402&lt;&gt;"",'1. Raw Data'!I3:I402)),VALUE('1. Raw Data'!I238)),0)</f>
        <v>229668.55</v>
      </c>
      <c r="M238" s="36">
        <f>IFERROR(IF('1. Raw Data'!J238="",AVERAGE(IF('1. Raw Data'!J3:J402&lt;&gt;"",'1. Raw Data'!J3:J402)),VALUE('1. Raw Data'!J238)),0)</f>
        <v>13.43</v>
      </c>
      <c r="N238" s="34">
        <f>'1. Raw Data'!K238</f>
        <v>48</v>
      </c>
      <c r="O238" s="35">
        <f t="shared" si="15"/>
        <v>6210.5607880614134</v>
      </c>
      <c r="P238" s="34">
        <f>'1. Raw Data'!L238</f>
        <v>31</v>
      </c>
      <c r="Q238" s="33" t="str">
        <f>TRIM('1. Raw Data'!M238)</f>
        <v>Premium</v>
      </c>
    </row>
    <row r="239" spans="1:17" ht="16.5" customHeight="1" x14ac:dyDescent="0.45">
      <c r="A239" s="25" t="str">
        <f>'1. Raw Data'!A239</f>
        <v>TXN-100237</v>
      </c>
      <c r="B239" s="26">
        <f>IFERROR(DATEVALUE('1. Raw Data'!B239),"")</f>
        <v>45500</v>
      </c>
      <c r="C239" s="27" t="str">
        <f t="shared" si="12"/>
        <v>Jul</v>
      </c>
      <c r="D239" s="27" t="str">
        <f t="shared" si="13"/>
        <v>Q3</v>
      </c>
      <c r="E239" s="28">
        <f t="shared" si="14"/>
        <v>2024</v>
      </c>
      <c r="F239" s="25" t="str">
        <f>PROPER(TRIM('1. Raw Data'!C239))</f>
        <v>Downtown</v>
      </c>
      <c r="G239" s="25" t="str">
        <f>TRIM('1. Raw Data'!D239)</f>
        <v>Fixed Deposit</v>
      </c>
      <c r="H239" s="25" t="str">
        <f>TRIM('1. Raw Data'!E239)</f>
        <v>Deposits</v>
      </c>
      <c r="I239" s="25" t="str">
        <f>TRIM('1. Raw Data'!F239)</f>
        <v>James Patel</v>
      </c>
      <c r="J239" s="27" t="str">
        <f>PROPER(TRIM('1. Raw Data'!G239))</f>
        <v>Active</v>
      </c>
      <c r="K239" s="27" t="str">
        <f>TRIM('1. Raw Data'!H239)</f>
        <v>Medium</v>
      </c>
      <c r="L239" s="29">
        <f>IFERROR(IF('1. Raw Data'!I239="",AVERAGE(IF('1. Raw Data'!I3:I402&lt;&gt;"",'1. Raw Data'!I3:I402)),VALUE('1. Raw Data'!I239)),0)</f>
        <v>190701.94</v>
      </c>
      <c r="M239" s="30">
        <f>IFERROR(IF('1. Raw Data'!J239="",AVERAGE(IF('1. Raw Data'!J3:J402&lt;&gt;"",'1. Raw Data'!J3:J402)),VALUE('1. Raw Data'!J239)),0)</f>
        <v>9.07</v>
      </c>
      <c r="N239" s="28">
        <f>'1. Raw Data'!K239</f>
        <v>240</v>
      </c>
      <c r="O239" s="29">
        <f t="shared" si="15"/>
        <v>1724.38954990259</v>
      </c>
      <c r="P239" s="28">
        <f>'1. Raw Data'!L239</f>
        <v>22</v>
      </c>
      <c r="Q239" s="27" t="str">
        <f>TRIM('1. Raw Data'!M239)</f>
        <v>Premium</v>
      </c>
    </row>
    <row r="240" spans="1:17" ht="16.5" customHeight="1" x14ac:dyDescent="0.45">
      <c r="A240" s="31" t="str">
        <f>'1. Raw Data'!A240</f>
        <v>TXN-100238</v>
      </c>
      <c r="B240" s="32">
        <f>IFERROR(DATEVALUE('1. Raw Data'!B240),"")</f>
        <v>45611</v>
      </c>
      <c r="C240" s="33" t="str">
        <f t="shared" si="12"/>
        <v>Nov</v>
      </c>
      <c r="D240" s="33" t="str">
        <f t="shared" si="13"/>
        <v>Q4</v>
      </c>
      <c r="E240" s="34">
        <f t="shared" si="14"/>
        <v>2024</v>
      </c>
      <c r="F240" s="31" t="str">
        <f>PROPER(TRIM('1. Raw Data'!C240))</f>
        <v>Downtown</v>
      </c>
      <c r="G240" s="31" t="str">
        <f>TRIM('1. Raw Data'!D240)</f>
        <v>Savings Account</v>
      </c>
      <c r="H240" s="31" t="str">
        <f>TRIM('1. Raw Data'!E240)</f>
        <v>Deposits</v>
      </c>
      <c r="I240" s="31" t="str">
        <f>TRIM('1. Raw Data'!F240)</f>
        <v>Sarah Chen</v>
      </c>
      <c r="J240" s="33" t="str">
        <f>PROPER(TRIM('1. Raw Data'!G240))</f>
        <v>Active</v>
      </c>
      <c r="K240" s="33" t="str">
        <f>TRIM('1. Raw Data'!H240)</f>
        <v>Medium</v>
      </c>
      <c r="L240" s="35">
        <f>IFERROR(IF('1. Raw Data'!I240="",AVERAGE(IF('1. Raw Data'!I3:I402&lt;&gt;"",'1. Raw Data'!I3:I402)),VALUE('1. Raw Data'!I240)),0)</f>
        <v>78142.52</v>
      </c>
      <c r="M240" s="36">
        <f>IFERROR(IF('1. Raw Data'!J240="",AVERAGE(IF('1. Raw Data'!J3:J402&lt;&gt;"",'1. Raw Data'!J3:J402)),VALUE('1. Raw Data'!J240)),0)</f>
        <v>12.49</v>
      </c>
      <c r="N240" s="34">
        <f>'1. Raw Data'!K240</f>
        <v>120</v>
      </c>
      <c r="O240" s="35">
        <f t="shared" si="15"/>
        <v>1143.3639690371838</v>
      </c>
      <c r="P240" s="34">
        <f>'1. Raw Data'!L240</f>
        <v>72</v>
      </c>
      <c r="Q240" s="33" t="str">
        <f>TRIM('1. Raw Data'!M240)</f>
        <v>Standard</v>
      </c>
    </row>
    <row r="241" spans="1:17" ht="16.5" customHeight="1" x14ac:dyDescent="0.45">
      <c r="A241" s="25" t="str">
        <f>'1. Raw Data'!A241</f>
        <v>TXN-100239</v>
      </c>
      <c r="B241" s="26">
        <f>IFERROR(DATEVALUE('1. Raw Data'!B241),"")</f>
        <v>45359</v>
      </c>
      <c r="C241" s="27" t="str">
        <f t="shared" si="12"/>
        <v>Mar</v>
      </c>
      <c r="D241" s="27" t="str">
        <f t="shared" si="13"/>
        <v>Q1</v>
      </c>
      <c r="E241" s="28">
        <f t="shared" si="14"/>
        <v>2024</v>
      </c>
      <c r="F241" s="25" t="str">
        <f>PROPER(TRIM('1. Raw Data'!C241))</f>
        <v>Northpark</v>
      </c>
      <c r="G241" s="25" t="str">
        <f>TRIM('1. Raw Data'!D241)</f>
        <v>Credit Card</v>
      </c>
      <c r="H241" s="25" t="str">
        <f>TRIM('1. Raw Data'!E241)</f>
        <v>Cards</v>
      </c>
      <c r="I241" s="25" t="str">
        <f>TRIM('1. Raw Data'!F241)</f>
        <v>Sarah Chen</v>
      </c>
      <c r="J241" s="27" t="str">
        <f>PROPER(TRIM('1. Raw Data'!G241))</f>
        <v>Active</v>
      </c>
      <c r="K241" s="27" t="str">
        <f>TRIM('1. Raw Data'!H241)</f>
        <v>High</v>
      </c>
      <c r="L241" s="29">
        <f>IFERROR(IF('1. Raw Data'!I241="",AVERAGE(IF('1. Raw Data'!I3:I402&lt;&gt;"",'1. Raw Data'!I3:I402)),VALUE('1. Raw Data'!I241)),0)</f>
        <v>0</v>
      </c>
      <c r="M241" s="30">
        <f>IFERROR(IF('1. Raw Data'!J241="",AVERAGE(IF('1. Raw Data'!J3:J402&lt;&gt;"",'1. Raw Data'!J3:J402)),VALUE('1. Raw Data'!J241)),0)</f>
        <v>7</v>
      </c>
      <c r="N241" s="28">
        <f>'1. Raw Data'!K241</f>
        <v>240</v>
      </c>
      <c r="O241" s="29">
        <f t="shared" si="15"/>
        <v>0</v>
      </c>
      <c r="P241" s="28">
        <f>'1. Raw Data'!L241</f>
        <v>50</v>
      </c>
      <c r="Q241" s="27" t="str">
        <f>TRIM('1. Raw Data'!M241)</f>
        <v>Premium</v>
      </c>
    </row>
    <row r="242" spans="1:17" ht="16.5" customHeight="1" x14ac:dyDescent="0.45">
      <c r="A242" s="31" t="str">
        <f>'1. Raw Data'!A242</f>
        <v>TXN-100240</v>
      </c>
      <c r="B242" s="32">
        <f>IFERROR(DATEVALUE('1. Raw Data'!B242),"")</f>
        <v>45425</v>
      </c>
      <c r="C242" s="33" t="str">
        <f t="shared" si="12"/>
        <v>May</v>
      </c>
      <c r="D242" s="33" t="str">
        <f t="shared" si="13"/>
        <v>Q2</v>
      </c>
      <c r="E242" s="34">
        <f t="shared" si="14"/>
        <v>2024</v>
      </c>
      <c r="F242" s="31" t="str">
        <f>PROPER(TRIM('1. Raw Data'!C242))</f>
        <v>Downtown</v>
      </c>
      <c r="G242" s="31" t="str">
        <f>TRIM('1. Raw Data'!D242)</f>
        <v>Savings Account</v>
      </c>
      <c r="H242" s="31" t="str">
        <f>TRIM('1. Raw Data'!E242)</f>
        <v>Deposits</v>
      </c>
      <c r="I242" s="31" t="str">
        <f>TRIM('1. Raw Data'!F242)</f>
        <v>James Patel</v>
      </c>
      <c r="J242" s="33" t="str">
        <f>PROPER(TRIM('1. Raw Data'!G242))</f>
        <v>Pending</v>
      </c>
      <c r="K242" s="33" t="str">
        <f>TRIM('1. Raw Data'!H242)</f>
        <v>Low</v>
      </c>
      <c r="L242" s="35">
        <f>IFERROR(IF('1. Raw Data'!I242="",AVERAGE(IF('1. Raw Data'!I3:I402&lt;&gt;"",'1. Raw Data'!I3:I402)),VALUE('1. Raw Data'!I242)),0)</f>
        <v>181413.97</v>
      </c>
      <c r="M242" s="36">
        <f>IFERROR(IF('1. Raw Data'!J242="",AVERAGE(IF('1. Raw Data'!J3:J402&lt;&gt;"",'1. Raw Data'!J3:J402)),VALUE('1. Raw Data'!J242)),0)</f>
        <v>13.45</v>
      </c>
      <c r="N242" s="34">
        <f>'1. Raw Data'!K242</f>
        <v>60</v>
      </c>
      <c r="O242" s="35">
        <f t="shared" si="15"/>
        <v>4169.6359535995525</v>
      </c>
      <c r="P242" s="34">
        <f>'1. Raw Data'!L242</f>
        <v>45</v>
      </c>
      <c r="Q242" s="33" t="str">
        <f>TRIM('1. Raw Data'!M242)</f>
        <v>Premium</v>
      </c>
    </row>
    <row r="243" spans="1:17" ht="16.5" customHeight="1" x14ac:dyDescent="0.45">
      <c r="A243" s="25" t="str">
        <f>'1. Raw Data'!A243</f>
        <v>TXN-100241</v>
      </c>
      <c r="B243" s="26">
        <f>IFERROR(DATEVALUE('1. Raw Data'!B243),"")</f>
        <v>45305</v>
      </c>
      <c r="C243" s="27" t="str">
        <f t="shared" si="12"/>
        <v>Jan</v>
      </c>
      <c r="D243" s="27" t="str">
        <f t="shared" si="13"/>
        <v>Q1</v>
      </c>
      <c r="E243" s="28">
        <f t="shared" si="14"/>
        <v>2024</v>
      </c>
      <c r="F243" s="25" t="str">
        <f>PROPER(TRIM('1. Raw Data'!C243))</f>
        <v>Eastgate</v>
      </c>
      <c r="G243" s="25" t="str">
        <f>TRIM('1. Raw Data'!D243)</f>
        <v>Credit Card</v>
      </c>
      <c r="H243" s="25" t="str">
        <f>TRIM('1. Raw Data'!E243)</f>
        <v>Cards</v>
      </c>
      <c r="I243" s="25" t="str">
        <f>TRIM('1. Raw Data'!F243)</f>
        <v>James Patel</v>
      </c>
      <c r="J243" s="27" t="str">
        <f>PROPER(TRIM('1. Raw Data'!G243))</f>
        <v>Active</v>
      </c>
      <c r="K243" s="27" t="str">
        <f>TRIM('1. Raw Data'!H243)</f>
        <v>High</v>
      </c>
      <c r="L243" s="29">
        <f>IFERROR(IF('1. Raw Data'!I243="",AVERAGE(IF('1. Raw Data'!I3:I402&lt;&gt;"",'1. Raw Data'!I3:I402)),VALUE('1. Raw Data'!I243)),0)</f>
        <v>81570.34</v>
      </c>
      <c r="M243" s="30">
        <f>IFERROR(IF('1. Raw Data'!J243="",AVERAGE(IF('1. Raw Data'!J3:J402&lt;&gt;"",'1. Raw Data'!J3:J402)),VALUE('1. Raw Data'!J243)),0)</f>
        <v>13.24</v>
      </c>
      <c r="N243" s="28">
        <f>'1. Raw Data'!K243</f>
        <v>120</v>
      </c>
      <c r="O243" s="29">
        <f t="shared" si="15"/>
        <v>1229.5068832260949</v>
      </c>
      <c r="P243" s="28">
        <f>'1. Raw Data'!L243</f>
        <v>57</v>
      </c>
      <c r="Q243" s="27" t="str">
        <f>TRIM('1. Raw Data'!M243)</f>
        <v>Standard</v>
      </c>
    </row>
    <row r="244" spans="1:17" ht="16.5" customHeight="1" x14ac:dyDescent="0.45">
      <c r="A244" s="31" t="str">
        <f>'1. Raw Data'!A244</f>
        <v>TXN-100242</v>
      </c>
      <c r="B244" s="32">
        <f>IFERROR(DATEVALUE('1. Raw Data'!B244),"")</f>
        <v>45366</v>
      </c>
      <c r="C244" s="33" t="str">
        <f t="shared" si="12"/>
        <v>Mar</v>
      </c>
      <c r="D244" s="33" t="str">
        <f t="shared" si="13"/>
        <v>Q1</v>
      </c>
      <c r="E244" s="34">
        <f t="shared" si="14"/>
        <v>2024</v>
      </c>
      <c r="F244" s="31" t="str">
        <f>PROPER(TRIM('1. Raw Data'!C244))</f>
        <v>Uptown</v>
      </c>
      <c r="G244" s="31" t="str">
        <f>TRIM('1. Raw Data'!D244)</f>
        <v>Personal Loan</v>
      </c>
      <c r="H244" s="31" t="str">
        <f>TRIM('1. Raw Data'!E244)</f>
        <v>Loans</v>
      </c>
      <c r="I244" s="31" t="str">
        <f>TRIM('1. Raw Data'!F244)</f>
        <v>Sarah Chen</v>
      </c>
      <c r="J244" s="33" t="str">
        <f>PROPER(TRIM('1. Raw Data'!G244))</f>
        <v>Active</v>
      </c>
      <c r="K244" s="33" t="str">
        <f>TRIM('1. Raw Data'!H244)</f>
        <v>Low</v>
      </c>
      <c r="L244" s="35">
        <f>IFERROR(IF('1. Raw Data'!I244="",AVERAGE(IF('1. Raw Data'!I3:I402&lt;&gt;"",'1. Raw Data'!I3:I402)),VALUE('1. Raw Data'!I244)),0)</f>
        <v>0</v>
      </c>
      <c r="M244" s="36">
        <f>IFERROR(IF('1. Raw Data'!J244="",AVERAGE(IF('1. Raw Data'!J3:J402&lt;&gt;"",'1. Raw Data'!J3:J402)),VALUE('1. Raw Data'!J244)),0)</f>
        <v>9.3800000000000008</v>
      </c>
      <c r="N244" s="34">
        <f>'1. Raw Data'!K244</f>
        <v>120</v>
      </c>
      <c r="O244" s="35">
        <f t="shared" si="15"/>
        <v>0</v>
      </c>
      <c r="P244" s="34">
        <f>'1. Raw Data'!L244</f>
        <v>27</v>
      </c>
      <c r="Q244" s="33" t="str">
        <f>TRIM('1. Raw Data'!M244)</f>
        <v>Premium</v>
      </c>
    </row>
    <row r="245" spans="1:17" ht="16.5" customHeight="1" x14ac:dyDescent="0.45">
      <c r="A245" s="25" t="str">
        <f>'1. Raw Data'!A245</f>
        <v>TXN-100243</v>
      </c>
      <c r="B245" s="26">
        <f>IFERROR(DATEVALUE('1. Raw Data'!B245),"")</f>
        <v>45363</v>
      </c>
      <c r="C245" s="27" t="str">
        <f t="shared" si="12"/>
        <v>Mar</v>
      </c>
      <c r="D245" s="27" t="str">
        <f t="shared" si="13"/>
        <v>Q1</v>
      </c>
      <c r="E245" s="28">
        <f t="shared" si="14"/>
        <v>2024</v>
      </c>
      <c r="F245" s="25" t="str">
        <f>PROPER(TRIM('1. Raw Data'!C245))</f>
        <v>Westside</v>
      </c>
      <c r="G245" s="25" t="str">
        <f>TRIM('1. Raw Data'!D245)</f>
        <v>Personal Loan</v>
      </c>
      <c r="H245" s="25" t="str">
        <f>TRIM('1. Raw Data'!E245)</f>
        <v>Loans</v>
      </c>
      <c r="I245" s="25" t="str">
        <f>TRIM('1. Raw Data'!F245)</f>
        <v>James Patel</v>
      </c>
      <c r="J245" s="27" t="str">
        <f>PROPER(TRIM('1. Raw Data'!G245))</f>
        <v>Active</v>
      </c>
      <c r="K245" s="27" t="str">
        <f>TRIM('1. Raw Data'!H245)</f>
        <v>Medium</v>
      </c>
      <c r="L245" s="29">
        <f>IFERROR(IF('1. Raw Data'!I245="",AVERAGE(IF('1. Raw Data'!I3:I402&lt;&gt;"",'1. Raw Data'!I3:I402)),VALUE('1. Raw Data'!I245)),0)</f>
        <v>205340.74</v>
      </c>
      <c r="M245" s="30">
        <f>IFERROR(IF('1. Raw Data'!J245="",AVERAGE(IF('1. Raw Data'!J3:J402&lt;&gt;"",'1. Raw Data'!J3:J402)),VALUE('1. Raw Data'!J245)),0)</f>
        <v>10.46</v>
      </c>
      <c r="N245" s="28">
        <f>'1. Raw Data'!K245</f>
        <v>180</v>
      </c>
      <c r="O245" s="29">
        <f t="shared" si="15"/>
        <v>2264.744955869528</v>
      </c>
      <c r="P245" s="28">
        <f>'1. Raw Data'!L245</f>
        <v>28</v>
      </c>
      <c r="Q245" s="27" t="str">
        <f>TRIM('1. Raw Data'!M245)</f>
        <v>Premium</v>
      </c>
    </row>
    <row r="246" spans="1:17" ht="16.5" customHeight="1" x14ac:dyDescent="0.45">
      <c r="A246" s="31" t="str">
        <f>'1. Raw Data'!A246</f>
        <v>TXN-100244</v>
      </c>
      <c r="B246" s="32">
        <f>IFERROR(DATEVALUE('1. Raw Data'!B246),"")</f>
        <v>45373</v>
      </c>
      <c r="C246" s="33" t="str">
        <f t="shared" si="12"/>
        <v>Mar</v>
      </c>
      <c r="D246" s="33" t="str">
        <f t="shared" si="13"/>
        <v>Q1</v>
      </c>
      <c r="E246" s="34">
        <f t="shared" si="14"/>
        <v>2024</v>
      </c>
      <c r="F246" s="31" t="str">
        <f>PROPER(TRIM('1. Raw Data'!C246))</f>
        <v>Westside</v>
      </c>
      <c r="G246" s="31" t="str">
        <f>TRIM('1. Raw Data'!D246)</f>
        <v>Mortgage</v>
      </c>
      <c r="H246" s="31" t="str">
        <f>TRIM('1. Raw Data'!E246)</f>
        <v>Loans</v>
      </c>
      <c r="I246" s="31" t="str">
        <f>TRIM('1. Raw Data'!F246)</f>
        <v>James Patel</v>
      </c>
      <c r="J246" s="33" t="str">
        <f>PROPER(TRIM('1. Raw Data'!G246))</f>
        <v>Active</v>
      </c>
      <c r="K246" s="33" t="str">
        <f>TRIM('1. Raw Data'!H246)</f>
        <v>Medium</v>
      </c>
      <c r="L246" s="35">
        <f>IFERROR(IF('1. Raw Data'!I246="",AVERAGE(IF('1. Raw Data'!I3:I402&lt;&gt;"",'1. Raw Data'!I3:I402)),VALUE('1. Raw Data'!I246)),0)</f>
        <v>18689.28</v>
      </c>
      <c r="M246" s="36">
        <f>IFERROR(IF('1. Raw Data'!J246="",AVERAGE(IF('1. Raw Data'!J3:J402&lt;&gt;"",'1. Raw Data'!J3:J402)),VALUE('1. Raw Data'!J246)),0)</f>
        <v>5.36</v>
      </c>
      <c r="N246" s="34">
        <f>'1. Raw Data'!K246</f>
        <v>48</v>
      </c>
      <c r="O246" s="35">
        <f t="shared" si="15"/>
        <v>433.45534945458763</v>
      </c>
      <c r="P246" s="34">
        <f>'1. Raw Data'!L246</f>
        <v>38</v>
      </c>
      <c r="Q246" s="33" t="str">
        <f>TRIM('1. Raw Data'!M246)</f>
        <v>Basic</v>
      </c>
    </row>
    <row r="247" spans="1:17" ht="16.5" customHeight="1" x14ac:dyDescent="0.45">
      <c r="A247" s="25" t="str">
        <f>'1. Raw Data'!A247</f>
        <v>TXN-100245</v>
      </c>
      <c r="B247" s="26">
        <f>IFERROR(DATEVALUE('1. Raw Data'!B247),"")</f>
        <v>45648</v>
      </c>
      <c r="C247" s="27" t="str">
        <f t="shared" si="12"/>
        <v>Dec</v>
      </c>
      <c r="D247" s="27" t="str">
        <f t="shared" si="13"/>
        <v>Q4</v>
      </c>
      <c r="E247" s="28">
        <f t="shared" si="14"/>
        <v>2024</v>
      </c>
      <c r="F247" s="25" t="str">
        <f>PROPER(TRIM('1. Raw Data'!C247))</f>
        <v>Eastgate</v>
      </c>
      <c r="G247" s="25" t="str">
        <f>TRIM('1. Raw Data'!D247)</f>
        <v>Fixed Deposit</v>
      </c>
      <c r="H247" s="25" t="str">
        <f>TRIM('1. Raw Data'!E247)</f>
        <v>Deposits</v>
      </c>
      <c r="I247" s="25" t="str">
        <f>TRIM('1. Raw Data'!F247)</f>
        <v>James Patel</v>
      </c>
      <c r="J247" s="27" t="str">
        <f>PROPER(TRIM('1. Raw Data'!G247))</f>
        <v>Active</v>
      </c>
      <c r="K247" s="27" t="str">
        <f>TRIM('1. Raw Data'!H247)</f>
        <v>Medium</v>
      </c>
      <c r="L247" s="29">
        <f>IFERROR(IF('1. Raw Data'!I247="",AVERAGE(IF('1. Raw Data'!I3:I402&lt;&gt;"",'1. Raw Data'!I3:I402)),VALUE('1. Raw Data'!I247)),0)</f>
        <v>58208.66</v>
      </c>
      <c r="M247" s="30">
        <f>IFERROR(IF('1. Raw Data'!J247="",AVERAGE(IF('1. Raw Data'!J3:J402&lt;&gt;"",'1. Raw Data'!J3:J402)),VALUE('1. Raw Data'!J247)),0)</f>
        <v>2.87</v>
      </c>
      <c r="N247" s="28">
        <f>'1. Raw Data'!K247</f>
        <v>24</v>
      </c>
      <c r="O247" s="29">
        <f t="shared" si="15"/>
        <v>2498.5329455229121</v>
      </c>
      <c r="P247" s="28">
        <f>'1. Raw Data'!L247</f>
        <v>35</v>
      </c>
      <c r="Q247" s="27" t="str">
        <f>TRIM('1. Raw Data'!M247)</f>
        <v>Standard</v>
      </c>
    </row>
    <row r="248" spans="1:17" ht="16.5" customHeight="1" x14ac:dyDescent="0.45">
      <c r="A248" s="31" t="str">
        <f>'1. Raw Data'!A248</f>
        <v>TXN-100246</v>
      </c>
      <c r="B248" s="32">
        <f>IFERROR(DATEVALUE('1. Raw Data'!B248),"")</f>
        <v>45586</v>
      </c>
      <c r="C248" s="33" t="str">
        <f t="shared" si="12"/>
        <v>Oct</v>
      </c>
      <c r="D248" s="33" t="str">
        <f t="shared" si="13"/>
        <v>Q4</v>
      </c>
      <c r="E248" s="34">
        <f t="shared" si="14"/>
        <v>2024</v>
      </c>
      <c r="F248" s="31" t="str">
        <f>PROPER(TRIM('1. Raw Data'!C248))</f>
        <v>Downtown</v>
      </c>
      <c r="G248" s="31" t="str">
        <f>TRIM('1. Raw Data'!D248)</f>
        <v>Credit Card</v>
      </c>
      <c r="H248" s="31" t="str">
        <f>TRIM('1. Raw Data'!E248)</f>
        <v>Cards</v>
      </c>
      <c r="I248" s="31" t="str">
        <f>TRIM('1. Raw Data'!F248)</f>
        <v>Maria Lopez</v>
      </c>
      <c r="J248" s="33" t="str">
        <f>PROPER(TRIM('1. Raw Data'!G248))</f>
        <v>Active</v>
      </c>
      <c r="K248" s="33" t="str">
        <f>TRIM('1. Raw Data'!H248)</f>
        <v>Medium</v>
      </c>
      <c r="L248" s="35">
        <f>IFERROR(IF('1. Raw Data'!I248="",AVERAGE(IF('1. Raw Data'!I3:I402&lt;&gt;"",'1. Raw Data'!I3:I402)),VALUE('1. Raw Data'!I248)),0)</f>
        <v>160992.67000000001</v>
      </c>
      <c r="M248" s="36">
        <f>IFERROR(IF('1. Raw Data'!J248="",AVERAGE(IF('1. Raw Data'!J3:J402&lt;&gt;"",'1. Raw Data'!J3:J402)),VALUE('1. Raw Data'!J248)),0)</f>
        <v>3.95</v>
      </c>
      <c r="N248" s="34">
        <f>'1. Raw Data'!K248</f>
        <v>180</v>
      </c>
      <c r="O248" s="35">
        <f t="shared" si="15"/>
        <v>1186.8135081807782</v>
      </c>
      <c r="P248" s="34">
        <f>'1. Raw Data'!L248</f>
        <v>50</v>
      </c>
      <c r="Q248" s="33" t="str">
        <f>TRIM('1. Raw Data'!M248)</f>
        <v>Premium</v>
      </c>
    </row>
    <row r="249" spans="1:17" ht="16.5" customHeight="1" x14ac:dyDescent="0.45">
      <c r="A249" s="25" t="str">
        <f>'1. Raw Data'!A249</f>
        <v>TXN-100247</v>
      </c>
      <c r="B249" s="26">
        <f>IFERROR(DATEVALUE('1. Raw Data'!B249),"")</f>
        <v>45402</v>
      </c>
      <c r="C249" s="27" t="str">
        <f t="shared" si="12"/>
        <v>Apr</v>
      </c>
      <c r="D249" s="27" t="str">
        <f t="shared" si="13"/>
        <v>Q2</v>
      </c>
      <c r="E249" s="28">
        <f t="shared" si="14"/>
        <v>2024</v>
      </c>
      <c r="F249" s="25" t="str">
        <f>PROPER(TRIM('1. Raw Data'!C249))</f>
        <v>Uptown</v>
      </c>
      <c r="G249" s="25" t="str">
        <f>TRIM('1. Raw Data'!D249)</f>
        <v>Credit Card</v>
      </c>
      <c r="H249" s="25" t="str">
        <f>TRIM('1. Raw Data'!E249)</f>
        <v>Cards</v>
      </c>
      <c r="I249" s="25" t="str">
        <f>TRIM('1. Raw Data'!F249)</f>
        <v>James Patel</v>
      </c>
      <c r="J249" s="27" t="str">
        <f>PROPER(TRIM('1. Raw Data'!G249))</f>
        <v>Active</v>
      </c>
      <c r="K249" s="27" t="str">
        <f>TRIM('1. Raw Data'!H249)</f>
        <v>Medium</v>
      </c>
      <c r="L249" s="29">
        <f>IFERROR(IF('1. Raw Data'!I249="",AVERAGE(IF('1. Raw Data'!I3:I402&lt;&gt;"",'1. Raw Data'!I3:I402)),VALUE('1. Raw Data'!I249)),0)</f>
        <v>120250.21</v>
      </c>
      <c r="M249" s="30">
        <f>IFERROR(IF('1. Raw Data'!J249="",AVERAGE(IF('1. Raw Data'!J3:J402&lt;&gt;"",'1. Raw Data'!J3:J402)),VALUE('1. Raw Data'!J249)),0)</f>
        <v>13.01</v>
      </c>
      <c r="N249" s="28">
        <f>'1. Raw Data'!K249</f>
        <v>180</v>
      </c>
      <c r="O249" s="29">
        <f t="shared" si="15"/>
        <v>1522.2476919358353</v>
      </c>
      <c r="P249" s="28">
        <f>'1. Raw Data'!L249</f>
        <v>56</v>
      </c>
      <c r="Q249" s="27" t="str">
        <f>TRIM('1. Raw Data'!M249)</f>
        <v>Premium</v>
      </c>
    </row>
    <row r="250" spans="1:17" ht="16.5" customHeight="1" x14ac:dyDescent="0.45">
      <c r="A250" s="31" t="str">
        <f>'1. Raw Data'!A250</f>
        <v>TXN-100248</v>
      </c>
      <c r="B250" s="32">
        <f>IFERROR(DATEVALUE('1. Raw Data'!B250),"")</f>
        <v>45549</v>
      </c>
      <c r="C250" s="33" t="str">
        <f t="shared" si="12"/>
        <v>Sep</v>
      </c>
      <c r="D250" s="33" t="str">
        <f t="shared" si="13"/>
        <v>Q3</v>
      </c>
      <c r="E250" s="34">
        <f t="shared" si="14"/>
        <v>2024</v>
      </c>
      <c r="F250" s="31" t="str">
        <f>PROPER(TRIM('1. Raw Data'!C250))</f>
        <v>Westside</v>
      </c>
      <c r="G250" s="31" t="str">
        <f>TRIM('1. Raw Data'!D250)</f>
        <v>Business Loan</v>
      </c>
      <c r="H250" s="31" t="str">
        <f>TRIM('1. Raw Data'!E250)</f>
        <v>Loans</v>
      </c>
      <c r="I250" s="31" t="str">
        <f>TRIM('1. Raw Data'!F250)</f>
        <v>Rachel Moore</v>
      </c>
      <c r="J250" s="33" t="str">
        <f>PROPER(TRIM('1. Raw Data'!G250))</f>
        <v>Active</v>
      </c>
      <c r="K250" s="33" t="str">
        <f>TRIM('1. Raw Data'!H250)</f>
        <v>Medium</v>
      </c>
      <c r="L250" s="35">
        <f>IFERROR(IF('1. Raw Data'!I250="",AVERAGE(IF('1. Raw Data'!I3:I402&lt;&gt;"",'1. Raw Data'!I3:I402)),VALUE('1. Raw Data'!I250)),0)</f>
        <v>230433.22</v>
      </c>
      <c r="M250" s="36">
        <f>IFERROR(IF('1. Raw Data'!J250="",AVERAGE(IF('1. Raw Data'!J3:J402&lt;&gt;"",'1. Raw Data'!J3:J402)),VALUE('1. Raw Data'!J250)),0)</f>
        <v>4.5199999999999996</v>
      </c>
      <c r="N250" s="34">
        <f>'1. Raw Data'!K250</f>
        <v>60</v>
      </c>
      <c r="O250" s="35">
        <f t="shared" si="15"/>
        <v>4298.0668886053609</v>
      </c>
      <c r="P250" s="34">
        <f>'1. Raw Data'!L250</f>
        <v>29</v>
      </c>
      <c r="Q250" s="33" t="str">
        <f>TRIM('1. Raw Data'!M250)</f>
        <v>Premium</v>
      </c>
    </row>
    <row r="251" spans="1:17" ht="16.5" customHeight="1" x14ac:dyDescent="0.45">
      <c r="A251" s="25" t="str">
        <f>'1. Raw Data'!A251</f>
        <v>TXN-100249</v>
      </c>
      <c r="B251" s="26">
        <f>IFERROR(DATEVALUE('1. Raw Data'!B251),"")</f>
        <v>45307</v>
      </c>
      <c r="C251" s="27" t="str">
        <f t="shared" si="12"/>
        <v>Jan</v>
      </c>
      <c r="D251" s="27" t="str">
        <f t="shared" si="13"/>
        <v>Q1</v>
      </c>
      <c r="E251" s="28">
        <f t="shared" si="14"/>
        <v>2024</v>
      </c>
      <c r="F251" s="25" t="str">
        <f>PROPER(TRIM('1. Raw Data'!C251))</f>
        <v>Eastgate</v>
      </c>
      <c r="G251" s="25" t="str">
        <f>TRIM('1. Raw Data'!D251)</f>
        <v>Mortgage</v>
      </c>
      <c r="H251" s="25" t="str">
        <f>TRIM('1. Raw Data'!E251)</f>
        <v>Loans</v>
      </c>
      <c r="I251" s="25" t="str">
        <f>TRIM('1. Raw Data'!F251)</f>
        <v>Sarah Chen</v>
      </c>
      <c r="J251" s="27" t="str">
        <f>PROPER(TRIM('1. Raw Data'!G251))</f>
        <v>Active</v>
      </c>
      <c r="K251" s="27" t="str">
        <f>TRIM('1. Raw Data'!H251)</f>
        <v>Low</v>
      </c>
      <c r="L251" s="29">
        <f>IFERROR(IF('1. Raw Data'!I251="",AVERAGE(IF('1. Raw Data'!I3:I402&lt;&gt;"",'1. Raw Data'!I3:I402)),VALUE('1. Raw Data'!I251)),0)</f>
        <v>212571.63</v>
      </c>
      <c r="M251" s="30">
        <f>IFERROR(IF('1. Raw Data'!J251="",AVERAGE(IF('1. Raw Data'!J3:J402&lt;&gt;"",'1. Raw Data'!J3:J402)),VALUE('1. Raw Data'!J251)),0)</f>
        <v>13.71</v>
      </c>
      <c r="N251" s="28">
        <f>'1. Raw Data'!K251</f>
        <v>60</v>
      </c>
      <c r="O251" s="29">
        <f t="shared" si="15"/>
        <v>4914.2687066938024</v>
      </c>
      <c r="P251" s="28">
        <f>'1. Raw Data'!L251</f>
        <v>48</v>
      </c>
      <c r="Q251" s="27" t="str">
        <f>TRIM('1. Raw Data'!M251)</f>
        <v>Premium</v>
      </c>
    </row>
    <row r="252" spans="1:17" ht="16.5" customHeight="1" x14ac:dyDescent="0.45">
      <c r="A252" s="31" t="str">
        <f>'1. Raw Data'!A252</f>
        <v>TXN-100250</v>
      </c>
      <c r="B252" s="32">
        <f>IFERROR(DATEVALUE('1. Raw Data'!B252),"")</f>
        <v>45629</v>
      </c>
      <c r="C252" s="33" t="str">
        <f t="shared" si="12"/>
        <v>Dec</v>
      </c>
      <c r="D252" s="33" t="str">
        <f t="shared" si="13"/>
        <v>Q4</v>
      </c>
      <c r="E252" s="34">
        <f t="shared" si="14"/>
        <v>2024</v>
      </c>
      <c r="F252" s="31" t="str">
        <f>PROPER(TRIM('1. Raw Data'!C252))</f>
        <v>Westside</v>
      </c>
      <c r="G252" s="31" t="str">
        <f>TRIM('1. Raw Data'!D252)</f>
        <v>Checking Account</v>
      </c>
      <c r="H252" s="31" t="str">
        <f>TRIM('1. Raw Data'!E252)</f>
        <v>Deposits</v>
      </c>
      <c r="I252" s="31" t="str">
        <f>TRIM('1. Raw Data'!F252)</f>
        <v>James Patel</v>
      </c>
      <c r="J252" s="33" t="str">
        <f>PROPER(TRIM('1. Raw Data'!G252))</f>
        <v>Active</v>
      </c>
      <c r="K252" s="33" t="str">
        <f>TRIM('1. Raw Data'!H252)</f>
        <v>Medium</v>
      </c>
      <c r="L252" s="35">
        <f>IFERROR(IF('1. Raw Data'!I252="",AVERAGE(IF('1. Raw Data'!I3:I402&lt;&gt;"",'1. Raw Data'!I3:I402)),VALUE('1. Raw Data'!I252)),0)</f>
        <v>182485.09</v>
      </c>
      <c r="M252" s="36">
        <f>IFERROR(IF('1. Raw Data'!J252="",AVERAGE(IF('1. Raw Data'!J3:J402&lt;&gt;"",'1. Raw Data'!J3:J402)),VALUE('1. Raw Data'!J252)),0)</f>
        <v>3.05</v>
      </c>
      <c r="N252" s="34">
        <f>'1. Raw Data'!K252</f>
        <v>24</v>
      </c>
      <c r="O252" s="35">
        <f t="shared" si="15"/>
        <v>7847.4668985894405</v>
      </c>
      <c r="P252" s="34">
        <f>'1. Raw Data'!L252</f>
        <v>41</v>
      </c>
      <c r="Q252" s="33" t="str">
        <f>TRIM('1. Raw Data'!M252)</f>
        <v>Premium</v>
      </c>
    </row>
    <row r="253" spans="1:17" ht="16.5" customHeight="1" x14ac:dyDescent="0.45">
      <c r="A253" s="25" t="str">
        <f>'1. Raw Data'!A253</f>
        <v>TXN-100251</v>
      </c>
      <c r="B253" s="26">
        <f>IFERROR(DATEVALUE('1. Raw Data'!B253),"")</f>
        <v>45654</v>
      </c>
      <c r="C253" s="27" t="str">
        <f t="shared" si="12"/>
        <v>Dec</v>
      </c>
      <c r="D253" s="27" t="str">
        <f t="shared" si="13"/>
        <v>Q4</v>
      </c>
      <c r="E253" s="28">
        <f t="shared" si="14"/>
        <v>2024</v>
      </c>
      <c r="F253" s="25" t="str">
        <f>PROPER(TRIM('1. Raw Data'!C253))</f>
        <v>Downtown</v>
      </c>
      <c r="G253" s="25" t="str">
        <f>TRIM('1. Raw Data'!D253)</f>
        <v>Business Loan</v>
      </c>
      <c r="H253" s="25" t="str">
        <f>TRIM('1. Raw Data'!E253)</f>
        <v>Loans</v>
      </c>
      <c r="I253" s="25" t="str">
        <f>TRIM('1. Raw Data'!F253)</f>
        <v>Sarah Chen</v>
      </c>
      <c r="J253" s="27" t="str">
        <f>PROPER(TRIM('1. Raw Data'!G253))</f>
        <v>Inactive</v>
      </c>
      <c r="K253" s="27" t="str">
        <f>TRIM('1. Raw Data'!H253)</f>
        <v>High</v>
      </c>
      <c r="L253" s="29">
        <f>IFERROR(IF('1. Raw Data'!I253="",AVERAGE(IF('1. Raw Data'!I3:I402&lt;&gt;"",'1. Raw Data'!I3:I402)),VALUE('1. Raw Data'!I253)),0)</f>
        <v>212365.69</v>
      </c>
      <c r="M253" s="30">
        <f>IFERROR(IF('1. Raw Data'!J253="",AVERAGE(IF('1. Raw Data'!J3:J402&lt;&gt;"",'1. Raw Data'!J3:J402)),VALUE('1. Raw Data'!J253)),0)</f>
        <v>6.23</v>
      </c>
      <c r="N253" s="28">
        <f>'1. Raw Data'!K253</f>
        <v>360</v>
      </c>
      <c r="O253" s="29">
        <f t="shared" si="15"/>
        <v>1304.8109548639557</v>
      </c>
      <c r="P253" s="28">
        <f>'1. Raw Data'!L253</f>
        <v>42</v>
      </c>
      <c r="Q253" s="27" t="str">
        <f>TRIM('1. Raw Data'!M253)</f>
        <v>Premium</v>
      </c>
    </row>
    <row r="254" spans="1:17" ht="16.5" customHeight="1" x14ac:dyDescent="0.45">
      <c r="A254" s="31" t="str">
        <f>'1. Raw Data'!A254</f>
        <v>TXN-100252</v>
      </c>
      <c r="B254" s="32">
        <f>IFERROR(DATEVALUE('1. Raw Data'!B254),"")</f>
        <v>45428</v>
      </c>
      <c r="C254" s="33" t="str">
        <f t="shared" si="12"/>
        <v>May</v>
      </c>
      <c r="D254" s="33" t="str">
        <f t="shared" si="13"/>
        <v>Q2</v>
      </c>
      <c r="E254" s="34">
        <f t="shared" si="14"/>
        <v>2024</v>
      </c>
      <c r="F254" s="31" t="str">
        <f>PROPER(TRIM('1. Raw Data'!C254))</f>
        <v>Eastgate</v>
      </c>
      <c r="G254" s="31" t="str">
        <f>TRIM('1. Raw Data'!D254)</f>
        <v>Credit Card</v>
      </c>
      <c r="H254" s="31" t="str">
        <f>TRIM('1. Raw Data'!E254)</f>
        <v>Cards</v>
      </c>
      <c r="I254" s="31" t="str">
        <f>TRIM('1. Raw Data'!F254)</f>
        <v>Maria Lopez</v>
      </c>
      <c r="J254" s="33" t="str">
        <f>PROPER(TRIM('1. Raw Data'!G254))</f>
        <v>Active</v>
      </c>
      <c r="K254" s="33" t="str">
        <f>TRIM('1. Raw Data'!H254)</f>
        <v>Medium</v>
      </c>
      <c r="L254" s="35">
        <f>IFERROR(IF('1. Raw Data'!I254="",AVERAGE(IF('1. Raw Data'!I3:I402&lt;&gt;"",'1. Raw Data'!I3:I402)),VALUE('1. Raw Data'!I254)),0)</f>
        <v>85127.84</v>
      </c>
      <c r="M254" s="36">
        <f>IFERROR(IF('1. Raw Data'!J254="",AVERAGE(IF('1. Raw Data'!J3:J402&lt;&gt;"",'1. Raw Data'!J3:J402)),VALUE('1. Raw Data'!J254)),0)</f>
        <v>6.68</v>
      </c>
      <c r="N254" s="34">
        <f>'1. Raw Data'!K254</f>
        <v>60</v>
      </c>
      <c r="O254" s="35">
        <f t="shared" si="15"/>
        <v>1672.8106023149676</v>
      </c>
      <c r="P254" s="34">
        <f>'1. Raw Data'!L254</f>
        <v>64</v>
      </c>
      <c r="Q254" s="33" t="str">
        <f>TRIM('1. Raw Data'!M254)</f>
        <v>Standard</v>
      </c>
    </row>
    <row r="255" spans="1:17" ht="16.5" customHeight="1" x14ac:dyDescent="0.45">
      <c r="A255" s="25" t="str">
        <f>'1. Raw Data'!A255</f>
        <v>TXN-100253</v>
      </c>
      <c r="B255" s="26">
        <f>IFERROR(DATEVALUE('1. Raw Data'!B255),"")</f>
        <v>45584</v>
      </c>
      <c r="C255" s="27" t="str">
        <f t="shared" si="12"/>
        <v>Oct</v>
      </c>
      <c r="D255" s="27" t="str">
        <f t="shared" si="13"/>
        <v>Q4</v>
      </c>
      <c r="E255" s="28">
        <f t="shared" si="14"/>
        <v>2024</v>
      </c>
      <c r="F255" s="25" t="str">
        <f>PROPER(TRIM('1. Raw Data'!C255))</f>
        <v>Eastgate</v>
      </c>
      <c r="G255" s="25" t="str">
        <f>TRIM('1. Raw Data'!D255)</f>
        <v>Business Loan</v>
      </c>
      <c r="H255" s="25" t="str">
        <f>TRIM('1. Raw Data'!E255)</f>
        <v>Loans</v>
      </c>
      <c r="I255" s="25" t="str">
        <f>TRIM('1. Raw Data'!F255)</f>
        <v>Maria Lopez</v>
      </c>
      <c r="J255" s="27" t="str">
        <f>PROPER(TRIM('1. Raw Data'!G255))</f>
        <v>Active</v>
      </c>
      <c r="K255" s="27" t="str">
        <f>TRIM('1. Raw Data'!H255)</f>
        <v>Low</v>
      </c>
      <c r="L255" s="29">
        <f>IFERROR(IF('1. Raw Data'!I255="",AVERAGE(IF('1. Raw Data'!I3:I402&lt;&gt;"",'1. Raw Data'!I3:I402)),VALUE('1. Raw Data'!I255)),0)</f>
        <v>207935.11</v>
      </c>
      <c r="M255" s="30">
        <f>IFERROR(IF('1. Raw Data'!J255="",AVERAGE(IF('1. Raw Data'!J3:J402&lt;&gt;"",'1. Raw Data'!J3:J402)),VALUE('1. Raw Data'!J255)),0)</f>
        <v>7.15</v>
      </c>
      <c r="N255" s="28">
        <f>'1. Raw Data'!K255</f>
        <v>24</v>
      </c>
      <c r="O255" s="29">
        <f t="shared" si="15"/>
        <v>9323.9374178688395</v>
      </c>
      <c r="P255" s="28">
        <f>'1. Raw Data'!L255</f>
        <v>22</v>
      </c>
      <c r="Q255" s="27" t="str">
        <f>TRIM('1. Raw Data'!M255)</f>
        <v>Premium</v>
      </c>
    </row>
    <row r="256" spans="1:17" ht="16.5" customHeight="1" x14ac:dyDescent="0.45">
      <c r="A256" s="31" t="str">
        <f>'1. Raw Data'!A256</f>
        <v>TXN-100254</v>
      </c>
      <c r="B256" s="32">
        <f>IFERROR(DATEVALUE('1. Raw Data'!B256),"")</f>
        <v>45383</v>
      </c>
      <c r="C256" s="33" t="str">
        <f t="shared" si="12"/>
        <v>Apr</v>
      </c>
      <c r="D256" s="33" t="str">
        <f t="shared" si="13"/>
        <v>Q2</v>
      </c>
      <c r="E256" s="34">
        <f t="shared" si="14"/>
        <v>2024</v>
      </c>
      <c r="F256" s="31" t="str">
        <f>PROPER(TRIM('1. Raw Data'!C256))</f>
        <v>Northpark</v>
      </c>
      <c r="G256" s="31" t="str">
        <f>TRIM('1. Raw Data'!D256)</f>
        <v>Fixed Deposit</v>
      </c>
      <c r="H256" s="31" t="str">
        <f>TRIM('1. Raw Data'!E256)</f>
        <v>Deposits</v>
      </c>
      <c r="I256" s="31" t="str">
        <f>TRIM('1. Raw Data'!F256)</f>
        <v>Sarah Chen</v>
      </c>
      <c r="J256" s="33" t="str">
        <f>PROPER(TRIM('1. Raw Data'!G256))</f>
        <v>Active</v>
      </c>
      <c r="K256" s="33" t="str">
        <f>TRIM('1. Raw Data'!H256)</f>
        <v>Low</v>
      </c>
      <c r="L256" s="35">
        <f>IFERROR(IF('1. Raw Data'!I256="",AVERAGE(IF('1. Raw Data'!I3:I402&lt;&gt;"",'1. Raw Data'!I3:I402)),VALUE('1. Raw Data'!I256)),0)</f>
        <v>187927.09</v>
      </c>
      <c r="M256" s="36">
        <f>IFERROR(IF('1. Raw Data'!J256="",AVERAGE(IF('1. Raw Data'!J3:J402&lt;&gt;"",'1. Raw Data'!J3:J402)),VALUE('1. Raw Data'!J256)),0)</f>
        <v>13.45</v>
      </c>
      <c r="N256" s="34">
        <f>'1. Raw Data'!K256</f>
        <v>36</v>
      </c>
      <c r="O256" s="35">
        <f t="shared" si="15"/>
        <v>6372.8159294383777</v>
      </c>
      <c r="P256" s="34">
        <f>'1. Raw Data'!L256</f>
        <v>47</v>
      </c>
      <c r="Q256" s="33" t="str">
        <f>TRIM('1. Raw Data'!M256)</f>
        <v>Premium</v>
      </c>
    </row>
    <row r="257" spans="1:17" ht="16.5" customHeight="1" x14ac:dyDescent="0.45">
      <c r="A257" s="25" t="str">
        <f>'1. Raw Data'!A257</f>
        <v>TXN-100255</v>
      </c>
      <c r="B257" s="26">
        <f>IFERROR(DATEVALUE('1. Raw Data'!B257),"")</f>
        <v>45389</v>
      </c>
      <c r="C257" s="27" t="str">
        <f t="shared" si="12"/>
        <v>Apr</v>
      </c>
      <c r="D257" s="27" t="str">
        <f t="shared" si="13"/>
        <v>Q2</v>
      </c>
      <c r="E257" s="28">
        <f t="shared" si="14"/>
        <v>2024</v>
      </c>
      <c r="F257" s="25" t="str">
        <f>PROPER(TRIM('1. Raw Data'!C257))</f>
        <v>Northpark</v>
      </c>
      <c r="G257" s="25" t="str">
        <f>TRIM('1. Raw Data'!D257)</f>
        <v>Fixed Deposit</v>
      </c>
      <c r="H257" s="25" t="str">
        <f>TRIM('1. Raw Data'!E257)</f>
        <v>Deposits</v>
      </c>
      <c r="I257" s="25" t="str">
        <f>TRIM('1. Raw Data'!F257)</f>
        <v>Rachel Moore</v>
      </c>
      <c r="J257" s="27" t="str">
        <f>PROPER(TRIM('1. Raw Data'!G257))</f>
        <v>Active</v>
      </c>
      <c r="K257" s="27" t="str">
        <f>TRIM('1. Raw Data'!H257)</f>
        <v>Low</v>
      </c>
      <c r="L257" s="29">
        <f>IFERROR(IF('1. Raw Data'!I257="",AVERAGE(IF('1. Raw Data'!I3:I402&lt;&gt;"",'1. Raw Data'!I3:I402)),VALUE('1. Raw Data'!I257)),0)</f>
        <v>97189.87</v>
      </c>
      <c r="M257" s="30">
        <f>IFERROR(IF('1. Raw Data'!J257="",AVERAGE(IF('1. Raw Data'!J3:J402&lt;&gt;"",'1. Raw Data'!J3:J402)),VALUE('1. Raw Data'!J257)),0)</f>
        <v>6.75</v>
      </c>
      <c r="N257" s="28">
        <f>'1. Raw Data'!K257</f>
        <v>24</v>
      </c>
      <c r="O257" s="29">
        <f t="shared" si="15"/>
        <v>4340.4344279106981</v>
      </c>
      <c r="P257" s="28">
        <f>'1. Raw Data'!L257</f>
        <v>24</v>
      </c>
      <c r="Q257" s="27" t="str">
        <f>TRIM('1. Raw Data'!M257)</f>
        <v>Standard</v>
      </c>
    </row>
    <row r="258" spans="1:17" ht="16.5" customHeight="1" x14ac:dyDescent="0.45">
      <c r="A258" s="31" t="str">
        <f>'1. Raw Data'!A258</f>
        <v>TXN-100256</v>
      </c>
      <c r="B258" s="32">
        <f>IFERROR(DATEVALUE('1. Raw Data'!B258),"")</f>
        <v>45571</v>
      </c>
      <c r="C258" s="33" t="str">
        <f t="shared" si="12"/>
        <v>Oct</v>
      </c>
      <c r="D258" s="33" t="str">
        <f t="shared" si="13"/>
        <v>Q4</v>
      </c>
      <c r="E258" s="34">
        <f t="shared" si="14"/>
        <v>2024</v>
      </c>
      <c r="F258" s="31" t="str">
        <f>PROPER(TRIM('1. Raw Data'!C258))</f>
        <v>Northpark</v>
      </c>
      <c r="G258" s="31" t="str">
        <f>TRIM('1. Raw Data'!D258)</f>
        <v>Savings Account</v>
      </c>
      <c r="H258" s="31" t="str">
        <f>TRIM('1. Raw Data'!E258)</f>
        <v>Deposits</v>
      </c>
      <c r="I258" s="31" t="str">
        <f>TRIM('1. Raw Data'!F258)</f>
        <v>David Kim</v>
      </c>
      <c r="J258" s="33" t="str">
        <f>PROPER(TRIM('1. Raw Data'!G258))</f>
        <v>Inactive</v>
      </c>
      <c r="K258" s="33" t="str">
        <f>TRIM('1. Raw Data'!H258)</f>
        <v>Medium</v>
      </c>
      <c r="L258" s="35">
        <f>IFERROR(IF('1. Raw Data'!I258="",AVERAGE(IF('1. Raw Data'!I3:I402&lt;&gt;"",'1. Raw Data'!I3:I402)),VALUE('1. Raw Data'!I258)),0)</f>
        <v>124026.8</v>
      </c>
      <c r="M258" s="36">
        <f>IFERROR(IF('1. Raw Data'!J258="",AVERAGE(IF('1. Raw Data'!J3:J402&lt;&gt;"",'1. Raw Data'!J3:J402)),VALUE('1. Raw Data'!J258)),0)</f>
        <v>9.9700000000000006</v>
      </c>
      <c r="N258" s="34">
        <f>'1. Raw Data'!K258</f>
        <v>180</v>
      </c>
      <c r="O258" s="35">
        <f t="shared" si="15"/>
        <v>1330.52297730996</v>
      </c>
      <c r="P258" s="34">
        <f>'1. Raw Data'!L258</f>
        <v>75</v>
      </c>
      <c r="Q258" s="33" t="str">
        <f>TRIM('1. Raw Data'!M258)</f>
        <v>Premium</v>
      </c>
    </row>
    <row r="259" spans="1:17" ht="16.5" customHeight="1" x14ac:dyDescent="0.45">
      <c r="A259" s="25" t="str">
        <f>'1. Raw Data'!A259</f>
        <v>TXN-100257</v>
      </c>
      <c r="B259" s="26">
        <f>IFERROR(DATEVALUE('1. Raw Data'!B259),"")</f>
        <v>45591</v>
      </c>
      <c r="C259" s="27" t="str">
        <f t="shared" ref="C259:C322" si="16">IFERROR(TEXT(B259,"mmm"),"")</f>
        <v>Oct</v>
      </c>
      <c r="D259" s="27" t="str">
        <f t="shared" ref="D259:D322" si="17">IFERROR("Q"&amp;INT((MONTH(B259)-1)/3+1),"")</f>
        <v>Q4</v>
      </c>
      <c r="E259" s="28">
        <f t="shared" ref="E259:E322" si="18">IFERROR(YEAR(B259),"")</f>
        <v>2024</v>
      </c>
      <c r="F259" s="25" t="str">
        <f>PROPER(TRIM('1. Raw Data'!C259))</f>
        <v>Westside</v>
      </c>
      <c r="G259" s="25" t="str">
        <f>TRIM('1. Raw Data'!D259)</f>
        <v>Credit Card</v>
      </c>
      <c r="H259" s="25" t="str">
        <f>TRIM('1. Raw Data'!E259)</f>
        <v>Cards</v>
      </c>
      <c r="I259" s="25" t="str">
        <f>TRIM('1. Raw Data'!F259)</f>
        <v>Maria Lopez</v>
      </c>
      <c r="J259" s="27" t="str">
        <f>PROPER(TRIM('1. Raw Data'!G259))</f>
        <v>Active</v>
      </c>
      <c r="K259" s="27" t="str">
        <f>TRIM('1. Raw Data'!H259)</f>
        <v>High</v>
      </c>
      <c r="L259" s="29">
        <f>IFERROR(IF('1. Raw Data'!I259="",AVERAGE(IF('1. Raw Data'!I3:I402&lt;&gt;"",'1. Raw Data'!I3:I402)),VALUE('1. Raw Data'!I259)),0)</f>
        <v>197133.96</v>
      </c>
      <c r="M259" s="30">
        <f>IFERROR(IF('1. Raw Data'!J259="",AVERAGE(IF('1. Raw Data'!J3:J402&lt;&gt;"",'1. Raw Data'!J3:J402)),VALUE('1. Raw Data'!J259)),0)</f>
        <v>0</v>
      </c>
      <c r="N259" s="28">
        <f>'1. Raw Data'!K259</f>
        <v>120</v>
      </c>
      <c r="O259" s="29">
        <f t="shared" ref="O259:O322" si="19">IFERROR(IF(M259=0,0,(L259*(M259/100/12))/(1-(1+M259/100/12)^(-N259))),0)</f>
        <v>0</v>
      </c>
      <c r="P259" s="28">
        <f>'1. Raw Data'!L259</f>
        <v>64</v>
      </c>
      <c r="Q259" s="27" t="str">
        <f>TRIM('1. Raw Data'!M259)</f>
        <v>Premium</v>
      </c>
    </row>
    <row r="260" spans="1:17" ht="16.5" customHeight="1" x14ac:dyDescent="0.45">
      <c r="A260" s="31" t="str">
        <f>'1. Raw Data'!A260</f>
        <v>TXN-100258</v>
      </c>
      <c r="B260" s="32">
        <f>IFERROR(DATEVALUE('1. Raw Data'!B260),"")</f>
        <v>45589</v>
      </c>
      <c r="C260" s="33" t="str">
        <f t="shared" si="16"/>
        <v>Oct</v>
      </c>
      <c r="D260" s="33" t="str">
        <f t="shared" si="17"/>
        <v>Q4</v>
      </c>
      <c r="E260" s="34">
        <f t="shared" si="18"/>
        <v>2024</v>
      </c>
      <c r="F260" s="31" t="str">
        <f>PROPER(TRIM('1. Raw Data'!C260))</f>
        <v>Westside</v>
      </c>
      <c r="G260" s="31" t="str">
        <f>TRIM('1. Raw Data'!D260)</f>
        <v>Mortgage</v>
      </c>
      <c r="H260" s="31" t="str">
        <f>TRIM('1. Raw Data'!E260)</f>
        <v>Loans</v>
      </c>
      <c r="I260" s="31" t="str">
        <f>TRIM('1. Raw Data'!F260)</f>
        <v>Maria Lopez</v>
      </c>
      <c r="J260" s="33" t="str">
        <f>PROPER(TRIM('1. Raw Data'!G260))</f>
        <v>Active</v>
      </c>
      <c r="K260" s="33" t="str">
        <f>TRIM('1. Raw Data'!H260)</f>
        <v>Low</v>
      </c>
      <c r="L260" s="35">
        <f>IFERROR(IF('1. Raw Data'!I260="",AVERAGE(IF('1. Raw Data'!I3:I402&lt;&gt;"",'1. Raw Data'!I3:I402)),VALUE('1. Raw Data'!I260)),0)</f>
        <v>132623.19</v>
      </c>
      <c r="M260" s="36">
        <f>IFERROR(IF('1. Raw Data'!J260="",AVERAGE(IF('1. Raw Data'!J3:J402&lt;&gt;"",'1. Raw Data'!J3:J402)),VALUE('1. Raw Data'!J260)),0)</f>
        <v>10.43</v>
      </c>
      <c r="N260" s="34">
        <f>'1. Raw Data'!K260</f>
        <v>36</v>
      </c>
      <c r="O260" s="35">
        <f t="shared" si="19"/>
        <v>4306.2015516184383</v>
      </c>
      <c r="P260" s="34">
        <f>'1. Raw Data'!L260</f>
        <v>34</v>
      </c>
      <c r="Q260" s="33" t="str">
        <f>TRIM('1. Raw Data'!M260)</f>
        <v>Premium</v>
      </c>
    </row>
    <row r="261" spans="1:17" ht="16.5" customHeight="1" x14ac:dyDescent="0.45">
      <c r="A261" s="25" t="str">
        <f>'1. Raw Data'!A261</f>
        <v>TXN-100259</v>
      </c>
      <c r="B261" s="26">
        <f>IFERROR(DATEVALUE('1. Raw Data'!B261),"")</f>
        <v>45297</v>
      </c>
      <c r="C261" s="27" t="str">
        <f t="shared" si="16"/>
        <v>Jan</v>
      </c>
      <c r="D261" s="27" t="str">
        <f t="shared" si="17"/>
        <v>Q1</v>
      </c>
      <c r="E261" s="28">
        <f t="shared" si="18"/>
        <v>2024</v>
      </c>
      <c r="F261" s="25" t="str">
        <f>PROPER(TRIM('1. Raw Data'!C261))</f>
        <v>Eastgate</v>
      </c>
      <c r="G261" s="25" t="str">
        <f>TRIM('1. Raw Data'!D261)</f>
        <v>Auto Loan</v>
      </c>
      <c r="H261" s="25" t="str">
        <f>TRIM('1. Raw Data'!E261)</f>
        <v>Loans</v>
      </c>
      <c r="I261" s="25" t="str">
        <f>TRIM('1. Raw Data'!F261)</f>
        <v>Rachel Moore</v>
      </c>
      <c r="J261" s="27" t="str">
        <f>PROPER(TRIM('1. Raw Data'!G261))</f>
        <v>Active</v>
      </c>
      <c r="K261" s="27" t="str">
        <f>TRIM('1. Raw Data'!H261)</f>
        <v>Medium</v>
      </c>
      <c r="L261" s="29">
        <f>IFERROR(IF('1. Raw Data'!I261="",AVERAGE(IF('1. Raw Data'!I3:I402&lt;&gt;"",'1. Raw Data'!I3:I402)),VALUE('1. Raw Data'!I261)),0)</f>
        <v>50159.07</v>
      </c>
      <c r="M261" s="30">
        <f>IFERROR(IF('1. Raw Data'!J261="",AVERAGE(IF('1. Raw Data'!J3:J402&lt;&gt;"",'1. Raw Data'!J3:J402)),VALUE('1. Raw Data'!J261)),0)</f>
        <v>7.26</v>
      </c>
      <c r="N261" s="28">
        <f>'1. Raw Data'!K261</f>
        <v>24</v>
      </c>
      <c r="O261" s="29">
        <f t="shared" si="19"/>
        <v>2251.6677677793796</v>
      </c>
      <c r="P261" s="28">
        <f>'1. Raw Data'!L261</f>
        <v>63</v>
      </c>
      <c r="Q261" s="27" t="str">
        <f>TRIM('1. Raw Data'!M261)</f>
        <v>Standard</v>
      </c>
    </row>
    <row r="262" spans="1:17" ht="16.5" customHeight="1" x14ac:dyDescent="0.45">
      <c r="A262" s="31" t="str">
        <f>'1. Raw Data'!A262</f>
        <v>TXN-100260</v>
      </c>
      <c r="B262" s="32">
        <f>IFERROR(DATEVALUE('1. Raw Data'!B262),"")</f>
        <v>45633</v>
      </c>
      <c r="C262" s="33" t="str">
        <f t="shared" si="16"/>
        <v>Dec</v>
      </c>
      <c r="D262" s="33" t="str">
        <f t="shared" si="17"/>
        <v>Q4</v>
      </c>
      <c r="E262" s="34">
        <f t="shared" si="18"/>
        <v>2024</v>
      </c>
      <c r="F262" s="31" t="str">
        <f>PROPER(TRIM('1. Raw Data'!C262))</f>
        <v>Westside</v>
      </c>
      <c r="G262" s="31" t="str">
        <f>TRIM('1. Raw Data'!D262)</f>
        <v>Mortgage</v>
      </c>
      <c r="H262" s="31" t="str">
        <f>TRIM('1. Raw Data'!E262)</f>
        <v>Loans</v>
      </c>
      <c r="I262" s="31" t="str">
        <f>TRIM('1. Raw Data'!F262)</f>
        <v>Maria Lopez</v>
      </c>
      <c r="J262" s="33" t="str">
        <f>PROPER(TRIM('1. Raw Data'!G262))</f>
        <v>Active</v>
      </c>
      <c r="K262" s="33" t="str">
        <f>TRIM('1. Raw Data'!H262)</f>
        <v>High</v>
      </c>
      <c r="L262" s="35">
        <f>IFERROR(IF('1. Raw Data'!I262="",AVERAGE(IF('1. Raw Data'!I3:I402&lt;&gt;"",'1. Raw Data'!I3:I402)),VALUE('1. Raw Data'!I262)),0)</f>
        <v>86152.1</v>
      </c>
      <c r="M262" s="36">
        <f>IFERROR(IF('1. Raw Data'!J262="",AVERAGE(IF('1. Raw Data'!J3:J402&lt;&gt;"",'1. Raw Data'!J3:J402)),VALUE('1. Raw Data'!J262)),0)</f>
        <v>7.75</v>
      </c>
      <c r="N262" s="34">
        <f>'1. Raw Data'!K262</f>
        <v>240</v>
      </c>
      <c r="O262" s="35">
        <f t="shared" si="19"/>
        <v>707.26442797001312</v>
      </c>
      <c r="P262" s="34">
        <f>'1. Raw Data'!L262</f>
        <v>49</v>
      </c>
      <c r="Q262" s="33" t="str">
        <f>TRIM('1. Raw Data'!M262)</f>
        <v>Standard</v>
      </c>
    </row>
    <row r="263" spans="1:17" ht="16.5" customHeight="1" x14ac:dyDescent="0.45">
      <c r="A263" s="25" t="str">
        <f>'1. Raw Data'!A263</f>
        <v>TXN-100261</v>
      </c>
      <c r="B263" s="26">
        <f>IFERROR(DATEVALUE('1. Raw Data'!B263),"")</f>
        <v>45589</v>
      </c>
      <c r="C263" s="27" t="str">
        <f t="shared" si="16"/>
        <v>Oct</v>
      </c>
      <c r="D263" s="27" t="str">
        <f t="shared" si="17"/>
        <v>Q4</v>
      </c>
      <c r="E263" s="28">
        <f t="shared" si="18"/>
        <v>2024</v>
      </c>
      <c r="F263" s="25" t="str">
        <f>PROPER(TRIM('1. Raw Data'!C263))</f>
        <v>Uptown</v>
      </c>
      <c r="G263" s="25" t="str">
        <f>TRIM('1. Raw Data'!D263)</f>
        <v>Auto Loan</v>
      </c>
      <c r="H263" s="25" t="str">
        <f>TRIM('1. Raw Data'!E263)</f>
        <v>Loans</v>
      </c>
      <c r="I263" s="25" t="str">
        <f>TRIM('1. Raw Data'!F263)</f>
        <v>James Patel</v>
      </c>
      <c r="J263" s="27" t="str">
        <f>PROPER(TRIM('1. Raw Data'!G263))</f>
        <v>Active</v>
      </c>
      <c r="K263" s="27" t="str">
        <f>TRIM('1. Raw Data'!H263)</f>
        <v>Medium</v>
      </c>
      <c r="L263" s="29">
        <f>IFERROR(IF('1. Raw Data'!I263="",AVERAGE(IF('1. Raw Data'!I3:I402&lt;&gt;"",'1. Raw Data'!I3:I402)),VALUE('1. Raw Data'!I263)),0)</f>
        <v>168323.07</v>
      </c>
      <c r="M263" s="30">
        <f>IFERROR(IF('1. Raw Data'!J263="",AVERAGE(IF('1. Raw Data'!J3:J402&lt;&gt;"",'1. Raw Data'!J3:J402)),VALUE('1. Raw Data'!J263)),0)</f>
        <v>6.4</v>
      </c>
      <c r="N263" s="28">
        <f>'1. Raw Data'!K263</f>
        <v>12</v>
      </c>
      <c r="O263" s="29">
        <f t="shared" si="19"/>
        <v>14517.930795621565</v>
      </c>
      <c r="P263" s="28">
        <f>'1. Raw Data'!L263</f>
        <v>66</v>
      </c>
      <c r="Q263" s="27" t="str">
        <f>TRIM('1. Raw Data'!M263)</f>
        <v>Premium</v>
      </c>
    </row>
    <row r="264" spans="1:17" ht="16.5" customHeight="1" x14ac:dyDescent="0.45">
      <c r="A264" s="31" t="str">
        <f>'1. Raw Data'!A264</f>
        <v>TXN-100262</v>
      </c>
      <c r="B264" s="32">
        <f>IFERROR(DATEVALUE('1. Raw Data'!B264),"")</f>
        <v>45366</v>
      </c>
      <c r="C264" s="33" t="str">
        <f t="shared" si="16"/>
        <v>Mar</v>
      </c>
      <c r="D264" s="33" t="str">
        <f t="shared" si="17"/>
        <v>Q1</v>
      </c>
      <c r="E264" s="34">
        <f t="shared" si="18"/>
        <v>2024</v>
      </c>
      <c r="F264" s="31" t="str">
        <f>PROPER(TRIM('1. Raw Data'!C264))</f>
        <v>Westside</v>
      </c>
      <c r="G264" s="31" t="str">
        <f>TRIM('1. Raw Data'!D264)</f>
        <v>Business Loan</v>
      </c>
      <c r="H264" s="31" t="str">
        <f>TRIM('1. Raw Data'!E264)</f>
        <v>Loans</v>
      </c>
      <c r="I264" s="31" t="str">
        <f>TRIM('1. Raw Data'!F264)</f>
        <v>Rachel Moore</v>
      </c>
      <c r="J264" s="33" t="str">
        <f>PROPER(TRIM('1. Raw Data'!G264))</f>
        <v>Pending</v>
      </c>
      <c r="K264" s="33" t="str">
        <f>TRIM('1. Raw Data'!H264)</f>
        <v>High</v>
      </c>
      <c r="L264" s="35">
        <f>IFERROR(IF('1. Raw Data'!I264="",AVERAGE(IF('1. Raw Data'!I3:I402&lt;&gt;"",'1. Raw Data'!I3:I402)),VALUE('1. Raw Data'!I264)),0)</f>
        <v>36516.29</v>
      </c>
      <c r="M264" s="36">
        <f>IFERROR(IF('1. Raw Data'!J264="",AVERAGE(IF('1. Raw Data'!J3:J402&lt;&gt;"",'1. Raw Data'!J3:J402)),VALUE('1. Raw Data'!J264)),0)</f>
        <v>13.52</v>
      </c>
      <c r="N264" s="34">
        <f>'1. Raw Data'!K264</f>
        <v>36</v>
      </c>
      <c r="O264" s="35">
        <f t="shared" si="19"/>
        <v>1239.5440656178905</v>
      </c>
      <c r="P264" s="34">
        <f>'1. Raw Data'!L264</f>
        <v>60</v>
      </c>
      <c r="Q264" s="33" t="str">
        <f>TRIM('1. Raw Data'!M264)</f>
        <v>Standard</v>
      </c>
    </row>
    <row r="265" spans="1:17" ht="16.5" customHeight="1" x14ac:dyDescent="0.45">
      <c r="A265" s="25" t="str">
        <f>'1. Raw Data'!A265</f>
        <v>TXN-100263</v>
      </c>
      <c r="B265" s="26">
        <f>IFERROR(DATEVALUE('1. Raw Data'!B265),"")</f>
        <v>45391</v>
      </c>
      <c r="C265" s="27" t="str">
        <f t="shared" si="16"/>
        <v>Apr</v>
      </c>
      <c r="D265" s="27" t="str">
        <f t="shared" si="17"/>
        <v>Q2</v>
      </c>
      <c r="E265" s="28">
        <f t="shared" si="18"/>
        <v>2024</v>
      </c>
      <c r="F265" s="25" t="str">
        <f>PROPER(TRIM('1. Raw Data'!C265))</f>
        <v>Uptown</v>
      </c>
      <c r="G265" s="25" t="str">
        <f>TRIM('1. Raw Data'!D265)</f>
        <v>Checking Account</v>
      </c>
      <c r="H265" s="25" t="str">
        <f>TRIM('1. Raw Data'!E265)</f>
        <v>Deposits</v>
      </c>
      <c r="I265" s="25" t="str">
        <f>TRIM('1. Raw Data'!F265)</f>
        <v>James Patel</v>
      </c>
      <c r="J265" s="27" t="str">
        <f>PROPER(TRIM('1. Raw Data'!G265))</f>
        <v>Pending</v>
      </c>
      <c r="K265" s="27" t="str">
        <f>TRIM('1. Raw Data'!H265)</f>
        <v>Low</v>
      </c>
      <c r="L265" s="29">
        <f>IFERROR(IF('1. Raw Data'!I265="",AVERAGE(IF('1. Raw Data'!I3:I402&lt;&gt;"",'1. Raw Data'!I3:I402)),VALUE('1. Raw Data'!I265)),0)</f>
        <v>201969.93</v>
      </c>
      <c r="M265" s="30">
        <f>IFERROR(IF('1. Raw Data'!J265="",AVERAGE(IF('1. Raw Data'!J3:J402&lt;&gt;"",'1. Raw Data'!J3:J402)),VALUE('1. Raw Data'!J265)),0)</f>
        <v>3.32</v>
      </c>
      <c r="N265" s="28">
        <f>'1. Raw Data'!K265</f>
        <v>240</v>
      </c>
      <c r="O265" s="29">
        <f t="shared" si="19"/>
        <v>1152.7494459314748</v>
      </c>
      <c r="P265" s="28">
        <f>'1. Raw Data'!L265</f>
        <v>57</v>
      </c>
      <c r="Q265" s="27" t="str">
        <f>TRIM('1. Raw Data'!M265)</f>
        <v>Premium</v>
      </c>
    </row>
    <row r="266" spans="1:17" ht="16.5" customHeight="1" x14ac:dyDescent="0.45">
      <c r="A266" s="31" t="str">
        <f>'1. Raw Data'!A266</f>
        <v>TXN-100264</v>
      </c>
      <c r="B266" s="32">
        <f>IFERROR(DATEVALUE('1. Raw Data'!B266),"")</f>
        <v>45508</v>
      </c>
      <c r="C266" s="33" t="str">
        <f t="shared" si="16"/>
        <v>Aug</v>
      </c>
      <c r="D266" s="33" t="str">
        <f t="shared" si="17"/>
        <v>Q3</v>
      </c>
      <c r="E266" s="34">
        <f t="shared" si="18"/>
        <v>2024</v>
      </c>
      <c r="F266" s="31" t="str">
        <f>PROPER(TRIM('1. Raw Data'!C266))</f>
        <v>Eastgate</v>
      </c>
      <c r="G266" s="31" t="str">
        <f>TRIM('1. Raw Data'!D266)</f>
        <v>Business Loan</v>
      </c>
      <c r="H266" s="31" t="str">
        <f>TRIM('1. Raw Data'!E266)</f>
        <v>Loans</v>
      </c>
      <c r="I266" s="31" t="str">
        <f>TRIM('1. Raw Data'!F266)</f>
        <v>Sarah Chen</v>
      </c>
      <c r="J266" s="33" t="str">
        <f>PROPER(TRIM('1. Raw Data'!G266))</f>
        <v>Inactive</v>
      </c>
      <c r="K266" s="33" t="str">
        <f>TRIM('1. Raw Data'!H266)</f>
        <v>Medium</v>
      </c>
      <c r="L266" s="35">
        <f>IFERROR(IF('1. Raw Data'!I266="",AVERAGE(IF('1. Raw Data'!I3:I402&lt;&gt;"",'1. Raw Data'!I3:I402)),VALUE('1. Raw Data'!I266)),0)</f>
        <v>0</v>
      </c>
      <c r="M266" s="36">
        <f>IFERROR(IF('1. Raw Data'!J266="",AVERAGE(IF('1. Raw Data'!J3:J402&lt;&gt;"",'1. Raw Data'!J3:J402)),VALUE('1. Raw Data'!J266)),0)</f>
        <v>4.76</v>
      </c>
      <c r="N266" s="34">
        <f>'1. Raw Data'!K266</f>
        <v>36</v>
      </c>
      <c r="O266" s="35">
        <f t="shared" si="19"/>
        <v>0</v>
      </c>
      <c r="P266" s="34">
        <f>'1. Raw Data'!L266</f>
        <v>28</v>
      </c>
      <c r="Q266" s="33" t="str">
        <f>TRIM('1. Raw Data'!M266)</f>
        <v>Standard</v>
      </c>
    </row>
    <row r="267" spans="1:17" ht="16.5" customHeight="1" x14ac:dyDescent="0.45">
      <c r="A267" s="25" t="str">
        <f>'1. Raw Data'!A267</f>
        <v>TXN-100265</v>
      </c>
      <c r="B267" s="26">
        <f>IFERROR(DATEVALUE('1. Raw Data'!B267),"")</f>
        <v>45354</v>
      </c>
      <c r="C267" s="27" t="str">
        <f t="shared" si="16"/>
        <v>Mar</v>
      </c>
      <c r="D267" s="27" t="str">
        <f t="shared" si="17"/>
        <v>Q1</v>
      </c>
      <c r="E267" s="28">
        <f t="shared" si="18"/>
        <v>2024</v>
      </c>
      <c r="F267" s="25" t="str">
        <f>PROPER(TRIM('1. Raw Data'!C267))</f>
        <v>Northpark</v>
      </c>
      <c r="G267" s="25" t="str">
        <f>TRIM('1. Raw Data'!D267)</f>
        <v>Credit Card</v>
      </c>
      <c r="H267" s="25" t="str">
        <f>TRIM('1. Raw Data'!E267)</f>
        <v>Cards</v>
      </c>
      <c r="I267" s="25" t="str">
        <f>TRIM('1. Raw Data'!F267)</f>
        <v>James Patel</v>
      </c>
      <c r="J267" s="27" t="str">
        <f>PROPER(TRIM('1. Raw Data'!G267))</f>
        <v>Inactive</v>
      </c>
      <c r="K267" s="27" t="str">
        <f>TRIM('1. Raw Data'!H267)</f>
        <v>Low</v>
      </c>
      <c r="L267" s="29">
        <f>IFERROR(IF('1. Raw Data'!I267="",AVERAGE(IF('1. Raw Data'!I3:I402&lt;&gt;"",'1. Raw Data'!I3:I402)),VALUE('1. Raw Data'!I267)),0)</f>
        <v>178694.34</v>
      </c>
      <c r="M267" s="30">
        <f>IFERROR(IF('1. Raw Data'!J267="",AVERAGE(IF('1. Raw Data'!J3:J402&lt;&gt;"",'1. Raw Data'!J3:J402)),VALUE('1. Raw Data'!J267)),0)</f>
        <v>13.84</v>
      </c>
      <c r="N267" s="28">
        <f>'1. Raw Data'!K267</f>
        <v>12</v>
      </c>
      <c r="O267" s="29">
        <f t="shared" si="19"/>
        <v>16031.000173302489</v>
      </c>
      <c r="P267" s="28">
        <f>'1. Raw Data'!L267</f>
        <v>38</v>
      </c>
      <c r="Q267" s="27" t="str">
        <f>TRIM('1. Raw Data'!M267)</f>
        <v>Premium</v>
      </c>
    </row>
    <row r="268" spans="1:17" ht="16.5" customHeight="1" x14ac:dyDescent="0.45">
      <c r="A268" s="31" t="str">
        <f>'1. Raw Data'!A268</f>
        <v>TXN-100266</v>
      </c>
      <c r="B268" s="32">
        <f>IFERROR(DATEVALUE('1. Raw Data'!B268),"")</f>
        <v>45377</v>
      </c>
      <c r="C268" s="33" t="str">
        <f t="shared" si="16"/>
        <v>Mar</v>
      </c>
      <c r="D268" s="33" t="str">
        <f t="shared" si="17"/>
        <v>Q1</v>
      </c>
      <c r="E268" s="34">
        <f t="shared" si="18"/>
        <v>2024</v>
      </c>
      <c r="F268" s="31" t="str">
        <f>PROPER(TRIM('1. Raw Data'!C268))</f>
        <v>Westside</v>
      </c>
      <c r="G268" s="31" t="str">
        <f>TRIM('1. Raw Data'!D268)</f>
        <v>Credit Card</v>
      </c>
      <c r="H268" s="31" t="str">
        <f>TRIM('1. Raw Data'!E268)</f>
        <v>Cards</v>
      </c>
      <c r="I268" s="31" t="str">
        <f>TRIM('1. Raw Data'!F268)</f>
        <v>James Patel</v>
      </c>
      <c r="J268" s="33" t="str">
        <f>PROPER(TRIM('1. Raw Data'!G268))</f>
        <v>Active</v>
      </c>
      <c r="K268" s="33" t="str">
        <f>TRIM('1. Raw Data'!H268)</f>
        <v>Low</v>
      </c>
      <c r="L268" s="35">
        <f>IFERROR(IF('1. Raw Data'!I268="",AVERAGE(IF('1. Raw Data'!I3:I402&lt;&gt;"",'1. Raw Data'!I3:I402)),VALUE('1. Raw Data'!I268)),0)</f>
        <v>158780.25</v>
      </c>
      <c r="M268" s="36">
        <f>IFERROR(IF('1. Raw Data'!J268="",AVERAGE(IF('1. Raw Data'!J3:J402&lt;&gt;"",'1. Raw Data'!J3:J402)),VALUE('1. Raw Data'!J268)),0)</f>
        <v>7.37</v>
      </c>
      <c r="N268" s="34">
        <f>'1. Raw Data'!K268</f>
        <v>48</v>
      </c>
      <c r="O268" s="35">
        <f t="shared" si="19"/>
        <v>3829.5064984206742</v>
      </c>
      <c r="P268" s="34">
        <f>'1. Raw Data'!L268</f>
        <v>28</v>
      </c>
      <c r="Q268" s="33" t="str">
        <f>TRIM('1. Raw Data'!M268)</f>
        <v>Premium</v>
      </c>
    </row>
    <row r="269" spans="1:17" ht="16.5" customHeight="1" x14ac:dyDescent="0.45">
      <c r="A269" s="25" t="str">
        <f>'1. Raw Data'!A269</f>
        <v>TXN-100267</v>
      </c>
      <c r="B269" s="26">
        <f>IFERROR(DATEVALUE('1. Raw Data'!B269),"")</f>
        <v>45414</v>
      </c>
      <c r="C269" s="27" t="str">
        <f t="shared" si="16"/>
        <v>May</v>
      </c>
      <c r="D269" s="27" t="str">
        <f t="shared" si="17"/>
        <v>Q2</v>
      </c>
      <c r="E269" s="28">
        <f t="shared" si="18"/>
        <v>2024</v>
      </c>
      <c r="F269" s="25" t="str">
        <f>PROPER(TRIM('1. Raw Data'!C269))</f>
        <v>Downtown</v>
      </c>
      <c r="G269" s="25" t="str">
        <f>TRIM('1. Raw Data'!D269)</f>
        <v>Mortgage</v>
      </c>
      <c r="H269" s="25" t="str">
        <f>TRIM('1. Raw Data'!E269)</f>
        <v>Loans</v>
      </c>
      <c r="I269" s="25" t="str">
        <f>TRIM('1. Raw Data'!F269)</f>
        <v>James Patel</v>
      </c>
      <c r="J269" s="27" t="str">
        <f>PROPER(TRIM('1. Raw Data'!G269))</f>
        <v>Inactive</v>
      </c>
      <c r="K269" s="27" t="str">
        <f>TRIM('1. Raw Data'!H269)</f>
        <v>Medium</v>
      </c>
      <c r="L269" s="29">
        <f>IFERROR(IF('1. Raw Data'!I269="",AVERAGE(IF('1. Raw Data'!I3:I402&lt;&gt;"",'1. Raw Data'!I3:I402)),VALUE('1. Raw Data'!I269)),0)</f>
        <v>29202.61</v>
      </c>
      <c r="M269" s="30">
        <f>IFERROR(IF('1. Raw Data'!J269="",AVERAGE(IF('1. Raw Data'!J3:J402&lt;&gt;"",'1. Raw Data'!J3:J402)),VALUE('1. Raw Data'!J269)),0)</f>
        <v>4.76</v>
      </c>
      <c r="N269" s="28">
        <f>'1. Raw Data'!K269</f>
        <v>48</v>
      </c>
      <c r="O269" s="29">
        <f t="shared" si="19"/>
        <v>669.34526640616832</v>
      </c>
      <c r="P269" s="28">
        <f>'1. Raw Data'!L269</f>
        <v>53</v>
      </c>
      <c r="Q269" s="27" t="str">
        <f>TRIM('1. Raw Data'!M269)</f>
        <v>Standard</v>
      </c>
    </row>
    <row r="270" spans="1:17" ht="16.5" customHeight="1" x14ac:dyDescent="0.45">
      <c r="A270" s="31" t="str">
        <f>'1. Raw Data'!A270</f>
        <v>TXN-100268</v>
      </c>
      <c r="B270" s="32">
        <f>IFERROR(DATEVALUE('1. Raw Data'!B270),"")</f>
        <v>45343</v>
      </c>
      <c r="C270" s="33" t="str">
        <f t="shared" si="16"/>
        <v>Feb</v>
      </c>
      <c r="D270" s="33" t="str">
        <f t="shared" si="17"/>
        <v>Q1</v>
      </c>
      <c r="E270" s="34">
        <f t="shared" si="18"/>
        <v>2024</v>
      </c>
      <c r="F270" s="31" t="str">
        <f>PROPER(TRIM('1. Raw Data'!C270))</f>
        <v>Northpark</v>
      </c>
      <c r="G270" s="31" t="str">
        <f>TRIM('1. Raw Data'!D270)</f>
        <v>Auto Loan</v>
      </c>
      <c r="H270" s="31" t="str">
        <f>TRIM('1. Raw Data'!E270)</f>
        <v>Loans</v>
      </c>
      <c r="I270" s="31" t="str">
        <f>TRIM('1. Raw Data'!F270)</f>
        <v>James Patel</v>
      </c>
      <c r="J270" s="33" t="str">
        <f>PROPER(TRIM('1. Raw Data'!G270))</f>
        <v>Active</v>
      </c>
      <c r="K270" s="33" t="str">
        <f>TRIM('1. Raw Data'!H270)</f>
        <v>Medium</v>
      </c>
      <c r="L270" s="35">
        <f>IFERROR(IF('1. Raw Data'!I270="",AVERAGE(IF('1. Raw Data'!I3:I402&lt;&gt;"",'1. Raw Data'!I3:I402)),VALUE('1. Raw Data'!I270)),0)</f>
        <v>41587.879999999997</v>
      </c>
      <c r="M270" s="36">
        <f>IFERROR(IF('1. Raw Data'!J270="",AVERAGE(IF('1. Raw Data'!J3:J402&lt;&gt;"",'1. Raw Data'!J3:J402)),VALUE('1. Raw Data'!J270)),0)</f>
        <v>13.03</v>
      </c>
      <c r="N270" s="34">
        <f>'1. Raw Data'!K270</f>
        <v>240</v>
      </c>
      <c r="O270" s="35">
        <f t="shared" si="19"/>
        <v>488.12258584658559</v>
      </c>
      <c r="P270" s="34">
        <f>'1. Raw Data'!L270</f>
        <v>58</v>
      </c>
      <c r="Q270" s="33" t="str">
        <f>TRIM('1. Raw Data'!M270)</f>
        <v>Standard</v>
      </c>
    </row>
    <row r="271" spans="1:17" ht="16.5" customHeight="1" x14ac:dyDescent="0.45">
      <c r="A271" s="25" t="str">
        <f>'1. Raw Data'!A271</f>
        <v>TXN-100269</v>
      </c>
      <c r="B271" s="26">
        <f>IFERROR(DATEVALUE('1. Raw Data'!B271),"")</f>
        <v>45501</v>
      </c>
      <c r="C271" s="27" t="str">
        <f t="shared" si="16"/>
        <v>Jul</v>
      </c>
      <c r="D271" s="27" t="str">
        <f t="shared" si="17"/>
        <v>Q3</v>
      </c>
      <c r="E271" s="28">
        <f t="shared" si="18"/>
        <v>2024</v>
      </c>
      <c r="F271" s="25" t="str">
        <f>PROPER(TRIM('1. Raw Data'!C271))</f>
        <v>Westside</v>
      </c>
      <c r="G271" s="25" t="str">
        <f>TRIM('1. Raw Data'!D271)</f>
        <v>Credit Card</v>
      </c>
      <c r="H271" s="25" t="str">
        <f>TRIM('1. Raw Data'!E271)</f>
        <v>Cards</v>
      </c>
      <c r="I271" s="25" t="str">
        <f>TRIM('1. Raw Data'!F271)</f>
        <v>Maria Lopez</v>
      </c>
      <c r="J271" s="27" t="str">
        <f>PROPER(TRIM('1. Raw Data'!G271))</f>
        <v>Active</v>
      </c>
      <c r="K271" s="27" t="str">
        <f>TRIM('1. Raw Data'!H271)</f>
        <v>Low</v>
      </c>
      <c r="L271" s="29">
        <f>IFERROR(IF('1. Raw Data'!I271="",AVERAGE(IF('1. Raw Data'!I3:I402&lt;&gt;"",'1. Raw Data'!I3:I402)),VALUE('1. Raw Data'!I271)),0)</f>
        <v>196764.72</v>
      </c>
      <c r="M271" s="30">
        <f>IFERROR(IF('1. Raw Data'!J271="",AVERAGE(IF('1. Raw Data'!J3:J402&lt;&gt;"",'1. Raw Data'!J3:J402)),VALUE('1. Raw Data'!J271)),0)</f>
        <v>6.25</v>
      </c>
      <c r="N271" s="28">
        <f>'1. Raw Data'!K271</f>
        <v>180</v>
      </c>
      <c r="O271" s="29">
        <f t="shared" si="19"/>
        <v>1687.1057024850375</v>
      </c>
      <c r="P271" s="28">
        <f>'1. Raw Data'!L271</f>
        <v>74</v>
      </c>
      <c r="Q271" s="27" t="str">
        <f>TRIM('1. Raw Data'!M271)</f>
        <v>Premium</v>
      </c>
    </row>
    <row r="272" spans="1:17" ht="16.5" customHeight="1" x14ac:dyDescent="0.45">
      <c r="A272" s="31" t="str">
        <f>'1. Raw Data'!A272</f>
        <v>TXN-100270</v>
      </c>
      <c r="B272" s="32">
        <f>IFERROR(DATEVALUE('1. Raw Data'!B272),"")</f>
        <v>45445</v>
      </c>
      <c r="C272" s="33" t="str">
        <f t="shared" si="16"/>
        <v>Jun</v>
      </c>
      <c r="D272" s="33" t="str">
        <f t="shared" si="17"/>
        <v>Q2</v>
      </c>
      <c r="E272" s="34">
        <f t="shared" si="18"/>
        <v>2024</v>
      </c>
      <c r="F272" s="31" t="str">
        <f>PROPER(TRIM('1. Raw Data'!C272))</f>
        <v>Eastgate</v>
      </c>
      <c r="G272" s="31" t="str">
        <f>TRIM('1. Raw Data'!D272)</f>
        <v>Credit Card</v>
      </c>
      <c r="H272" s="31" t="str">
        <f>TRIM('1. Raw Data'!E272)</f>
        <v>Cards</v>
      </c>
      <c r="I272" s="31" t="str">
        <f>TRIM('1. Raw Data'!F272)</f>
        <v>Maria Lopez</v>
      </c>
      <c r="J272" s="33" t="str">
        <f>PROPER(TRIM('1. Raw Data'!G272))</f>
        <v>Active</v>
      </c>
      <c r="K272" s="33" t="str">
        <f>TRIM('1. Raw Data'!H272)</f>
        <v>Low</v>
      </c>
      <c r="L272" s="35">
        <f>IFERROR(IF('1. Raw Data'!I272="",AVERAGE(IF('1. Raw Data'!I3:I402&lt;&gt;"",'1. Raw Data'!I3:I402)),VALUE('1. Raw Data'!I272)),0)</f>
        <v>49536.69</v>
      </c>
      <c r="M272" s="36">
        <f>IFERROR(IF('1. Raw Data'!J272="",AVERAGE(IF('1. Raw Data'!J3:J402&lt;&gt;"",'1. Raw Data'!J3:J402)),VALUE('1. Raw Data'!J272)),0)</f>
        <v>6.64</v>
      </c>
      <c r="N272" s="34">
        <f>'1. Raw Data'!K272</f>
        <v>36</v>
      </c>
      <c r="O272" s="35">
        <f t="shared" si="19"/>
        <v>1521.4087469562098</v>
      </c>
      <c r="P272" s="34">
        <f>'1. Raw Data'!L272</f>
        <v>55</v>
      </c>
      <c r="Q272" s="33" t="str">
        <f>TRIM('1. Raw Data'!M272)</f>
        <v>Standard</v>
      </c>
    </row>
    <row r="273" spans="1:17" ht="16.5" customHeight="1" x14ac:dyDescent="0.45">
      <c r="A273" s="25" t="str">
        <f>'1. Raw Data'!A273</f>
        <v>TXN-100271</v>
      </c>
      <c r="B273" s="26">
        <f>IFERROR(DATEVALUE('1. Raw Data'!B273),"")</f>
        <v>45557</v>
      </c>
      <c r="C273" s="27" t="str">
        <f t="shared" si="16"/>
        <v>Sep</v>
      </c>
      <c r="D273" s="27" t="str">
        <f t="shared" si="17"/>
        <v>Q3</v>
      </c>
      <c r="E273" s="28">
        <f t="shared" si="18"/>
        <v>2024</v>
      </c>
      <c r="F273" s="25" t="str">
        <f>PROPER(TRIM('1. Raw Data'!C273))</f>
        <v>Northpark</v>
      </c>
      <c r="G273" s="25" t="str">
        <f>TRIM('1. Raw Data'!D273)</f>
        <v>Checking Account</v>
      </c>
      <c r="H273" s="25" t="str">
        <f>TRIM('1. Raw Data'!E273)</f>
        <v>Deposits</v>
      </c>
      <c r="I273" s="25" t="str">
        <f>TRIM('1. Raw Data'!F273)</f>
        <v>James Patel</v>
      </c>
      <c r="J273" s="27" t="str">
        <f>PROPER(TRIM('1. Raw Data'!G273))</f>
        <v>Inactive</v>
      </c>
      <c r="K273" s="27" t="str">
        <f>TRIM('1. Raw Data'!H273)</f>
        <v>Low</v>
      </c>
      <c r="L273" s="29">
        <f>IFERROR(IF('1. Raw Data'!I273="",AVERAGE(IF('1. Raw Data'!I3:I402&lt;&gt;"",'1. Raw Data'!I3:I402)),VALUE('1. Raw Data'!I273)),0)</f>
        <v>185758.45</v>
      </c>
      <c r="M273" s="30">
        <f>IFERROR(IF('1. Raw Data'!J273="",AVERAGE(IF('1. Raw Data'!J3:J402&lt;&gt;"",'1. Raw Data'!J3:J402)),VALUE('1. Raw Data'!J273)),0)</f>
        <v>7.6</v>
      </c>
      <c r="N273" s="28">
        <f>'1. Raw Data'!K273</f>
        <v>360</v>
      </c>
      <c r="O273" s="29">
        <f t="shared" si="19"/>
        <v>1311.593489534102</v>
      </c>
      <c r="P273" s="28">
        <f>'1. Raw Data'!L273</f>
        <v>51</v>
      </c>
      <c r="Q273" s="27" t="str">
        <f>TRIM('1. Raw Data'!M273)</f>
        <v>Premium</v>
      </c>
    </row>
    <row r="274" spans="1:17" ht="16.5" customHeight="1" x14ac:dyDescent="0.45">
      <c r="A274" s="31" t="str">
        <f>'1. Raw Data'!A274</f>
        <v>TXN-100272</v>
      </c>
      <c r="B274" s="32">
        <f>IFERROR(DATEVALUE('1. Raw Data'!B274),"")</f>
        <v>45409</v>
      </c>
      <c r="C274" s="33" t="str">
        <f t="shared" si="16"/>
        <v>Apr</v>
      </c>
      <c r="D274" s="33" t="str">
        <f t="shared" si="17"/>
        <v>Q2</v>
      </c>
      <c r="E274" s="34">
        <f t="shared" si="18"/>
        <v>2024</v>
      </c>
      <c r="F274" s="31" t="str">
        <f>PROPER(TRIM('1. Raw Data'!C274))</f>
        <v>Uptown</v>
      </c>
      <c r="G274" s="31" t="str">
        <f>TRIM('1. Raw Data'!D274)</f>
        <v>Credit Card</v>
      </c>
      <c r="H274" s="31" t="str">
        <f>TRIM('1. Raw Data'!E274)</f>
        <v>Cards</v>
      </c>
      <c r="I274" s="31" t="str">
        <f>TRIM('1. Raw Data'!F274)</f>
        <v>Maria Lopez</v>
      </c>
      <c r="J274" s="33" t="str">
        <f>PROPER(TRIM('1. Raw Data'!G274))</f>
        <v>Pending</v>
      </c>
      <c r="K274" s="33" t="str">
        <f>TRIM('1. Raw Data'!H274)</f>
        <v>High</v>
      </c>
      <c r="L274" s="35">
        <f>IFERROR(IF('1. Raw Data'!I274="",AVERAGE(IF('1. Raw Data'!I3:I402&lt;&gt;"",'1. Raw Data'!I3:I402)),VALUE('1. Raw Data'!I274)),0)</f>
        <v>13944.78</v>
      </c>
      <c r="M274" s="36">
        <f>IFERROR(IF('1. Raw Data'!J274="",AVERAGE(IF('1. Raw Data'!J3:J402&lt;&gt;"",'1. Raw Data'!J3:J402)),VALUE('1. Raw Data'!J274)),0)</f>
        <v>5.62</v>
      </c>
      <c r="N274" s="34">
        <f>'1. Raw Data'!K274</f>
        <v>240</v>
      </c>
      <c r="O274" s="35">
        <f t="shared" si="19"/>
        <v>96.871944389324113</v>
      </c>
      <c r="P274" s="34">
        <f>'1. Raw Data'!L274</f>
        <v>55</v>
      </c>
      <c r="Q274" s="33" t="str">
        <f>TRIM('1. Raw Data'!M274)</f>
        <v>Basic</v>
      </c>
    </row>
    <row r="275" spans="1:17" ht="16.5" customHeight="1" x14ac:dyDescent="0.45">
      <c r="A275" s="25" t="str">
        <f>'1. Raw Data'!A275</f>
        <v>TXN-100273</v>
      </c>
      <c r="B275" s="26">
        <f>IFERROR(DATEVALUE('1. Raw Data'!B275),"")</f>
        <v>45310</v>
      </c>
      <c r="C275" s="27" t="str">
        <f t="shared" si="16"/>
        <v>Jan</v>
      </c>
      <c r="D275" s="27" t="str">
        <f t="shared" si="17"/>
        <v>Q1</v>
      </c>
      <c r="E275" s="28">
        <f t="shared" si="18"/>
        <v>2024</v>
      </c>
      <c r="F275" s="25" t="str">
        <f>PROPER(TRIM('1. Raw Data'!C275))</f>
        <v>Westside</v>
      </c>
      <c r="G275" s="25" t="str">
        <f>TRIM('1. Raw Data'!D275)</f>
        <v>Savings Account</v>
      </c>
      <c r="H275" s="25" t="str">
        <f>TRIM('1. Raw Data'!E275)</f>
        <v>Deposits</v>
      </c>
      <c r="I275" s="25" t="str">
        <f>TRIM('1. Raw Data'!F275)</f>
        <v>David Kim</v>
      </c>
      <c r="J275" s="27" t="str">
        <f>PROPER(TRIM('1. Raw Data'!G275))</f>
        <v>Inactive</v>
      </c>
      <c r="K275" s="27" t="str">
        <f>TRIM('1. Raw Data'!H275)</f>
        <v>Medium</v>
      </c>
      <c r="L275" s="29">
        <f>IFERROR(IF('1. Raw Data'!I275="",AVERAGE(IF('1. Raw Data'!I3:I402&lt;&gt;"",'1. Raw Data'!I3:I402)),VALUE('1. Raw Data'!I275)),0)</f>
        <v>146204.15</v>
      </c>
      <c r="M275" s="30">
        <f>IFERROR(IF('1. Raw Data'!J275="",AVERAGE(IF('1. Raw Data'!J3:J402&lt;&gt;"",'1. Raw Data'!J3:J402)),VALUE('1. Raw Data'!J275)),0)</f>
        <v>10.64</v>
      </c>
      <c r="N275" s="28">
        <f>'1. Raw Data'!K275</f>
        <v>60</v>
      </c>
      <c r="O275" s="29">
        <f t="shared" si="19"/>
        <v>3152.6467147467301</v>
      </c>
      <c r="P275" s="28">
        <f>'1. Raw Data'!L275</f>
        <v>72</v>
      </c>
      <c r="Q275" s="27" t="str">
        <f>TRIM('1. Raw Data'!M275)</f>
        <v>Premium</v>
      </c>
    </row>
    <row r="276" spans="1:17" ht="16.5" customHeight="1" x14ac:dyDescent="0.45">
      <c r="A276" s="31" t="str">
        <f>'1. Raw Data'!A276</f>
        <v>TXN-100274</v>
      </c>
      <c r="B276" s="32">
        <f>IFERROR(DATEVALUE('1. Raw Data'!B276),"")</f>
        <v>45491</v>
      </c>
      <c r="C276" s="33" t="str">
        <f t="shared" si="16"/>
        <v>Jul</v>
      </c>
      <c r="D276" s="33" t="str">
        <f t="shared" si="17"/>
        <v>Q3</v>
      </c>
      <c r="E276" s="34">
        <f t="shared" si="18"/>
        <v>2024</v>
      </c>
      <c r="F276" s="31" t="str">
        <f>PROPER(TRIM('1. Raw Data'!C276))</f>
        <v>Eastgate</v>
      </c>
      <c r="G276" s="31" t="str">
        <f>TRIM('1. Raw Data'!D276)</f>
        <v>Fixed Deposit</v>
      </c>
      <c r="H276" s="31" t="str">
        <f>TRIM('1. Raw Data'!E276)</f>
        <v>Deposits</v>
      </c>
      <c r="I276" s="31" t="str">
        <f>TRIM('1. Raw Data'!F276)</f>
        <v>Rachel Moore</v>
      </c>
      <c r="J276" s="33" t="str">
        <f>PROPER(TRIM('1. Raw Data'!G276))</f>
        <v>Active</v>
      </c>
      <c r="K276" s="33" t="str">
        <f>TRIM('1. Raw Data'!H276)</f>
        <v>Low</v>
      </c>
      <c r="L276" s="35">
        <f>IFERROR(IF('1. Raw Data'!I276="",AVERAGE(IF('1. Raw Data'!I3:I402&lt;&gt;"",'1. Raw Data'!I3:I402)),VALUE('1. Raw Data'!I276)),0)</f>
        <v>230183.88</v>
      </c>
      <c r="M276" s="36">
        <f>IFERROR(IF('1. Raw Data'!J276="",AVERAGE(IF('1. Raw Data'!J3:J402&lt;&gt;"",'1. Raw Data'!J3:J402)),VALUE('1. Raw Data'!J276)),0)</f>
        <v>6.21</v>
      </c>
      <c r="N276" s="34">
        <f>'1. Raw Data'!K276</f>
        <v>240</v>
      </c>
      <c r="O276" s="35">
        <f t="shared" si="19"/>
        <v>1677.1167124028811</v>
      </c>
      <c r="P276" s="34">
        <f>'1. Raw Data'!L276</f>
        <v>73</v>
      </c>
      <c r="Q276" s="33" t="str">
        <f>TRIM('1. Raw Data'!M276)</f>
        <v>Premium</v>
      </c>
    </row>
    <row r="277" spans="1:17" ht="16.5" customHeight="1" x14ac:dyDescent="0.45">
      <c r="A277" s="25" t="str">
        <f>'1. Raw Data'!A277</f>
        <v>TXN-100275</v>
      </c>
      <c r="B277" s="26">
        <f>IFERROR(DATEVALUE('1. Raw Data'!B277),"")</f>
        <v>45432</v>
      </c>
      <c r="C277" s="27" t="str">
        <f t="shared" si="16"/>
        <v>May</v>
      </c>
      <c r="D277" s="27" t="str">
        <f t="shared" si="17"/>
        <v>Q2</v>
      </c>
      <c r="E277" s="28">
        <f t="shared" si="18"/>
        <v>2024</v>
      </c>
      <c r="F277" s="25" t="str">
        <f>PROPER(TRIM('1. Raw Data'!C277))</f>
        <v>Uptown</v>
      </c>
      <c r="G277" s="25" t="str">
        <f>TRIM('1. Raw Data'!D277)</f>
        <v>Credit Card</v>
      </c>
      <c r="H277" s="25" t="str">
        <f>TRIM('1. Raw Data'!E277)</f>
        <v>Cards</v>
      </c>
      <c r="I277" s="25" t="str">
        <f>TRIM('1. Raw Data'!F277)</f>
        <v>Maria Lopez</v>
      </c>
      <c r="J277" s="27" t="str">
        <f>PROPER(TRIM('1. Raw Data'!G277))</f>
        <v>Pending</v>
      </c>
      <c r="K277" s="27" t="str">
        <f>TRIM('1. Raw Data'!H277)</f>
        <v>Low</v>
      </c>
      <c r="L277" s="29">
        <f>IFERROR(IF('1. Raw Data'!I277="",AVERAGE(IF('1. Raw Data'!I3:I402&lt;&gt;"",'1. Raw Data'!I3:I402)),VALUE('1. Raw Data'!I277)),0)</f>
        <v>103494.28</v>
      </c>
      <c r="M277" s="30">
        <f>IFERROR(IF('1. Raw Data'!J277="",AVERAGE(IF('1. Raw Data'!J3:J402&lt;&gt;"",'1. Raw Data'!J3:J402)),VALUE('1. Raw Data'!J277)),0)</f>
        <v>4.5199999999999996</v>
      </c>
      <c r="N277" s="28">
        <f>'1. Raw Data'!K277</f>
        <v>24</v>
      </c>
      <c r="O277" s="29">
        <f t="shared" si="19"/>
        <v>4518.2230243486456</v>
      </c>
      <c r="P277" s="28">
        <f>'1. Raw Data'!L277</f>
        <v>46</v>
      </c>
      <c r="Q277" s="27" t="str">
        <f>TRIM('1. Raw Data'!M277)</f>
        <v>Premium</v>
      </c>
    </row>
    <row r="278" spans="1:17" ht="16.5" customHeight="1" x14ac:dyDescent="0.45">
      <c r="A278" s="31" t="str">
        <f>'1. Raw Data'!A278</f>
        <v>TXN-100276</v>
      </c>
      <c r="B278" s="32">
        <f>IFERROR(DATEVALUE('1. Raw Data'!B278),"")</f>
        <v>45589</v>
      </c>
      <c r="C278" s="33" t="str">
        <f t="shared" si="16"/>
        <v>Oct</v>
      </c>
      <c r="D278" s="33" t="str">
        <f t="shared" si="17"/>
        <v>Q4</v>
      </c>
      <c r="E278" s="34">
        <f t="shared" si="18"/>
        <v>2024</v>
      </c>
      <c r="F278" s="31" t="str">
        <f>PROPER(TRIM('1. Raw Data'!C278))</f>
        <v>Eastgate</v>
      </c>
      <c r="G278" s="31" t="str">
        <f>TRIM('1. Raw Data'!D278)</f>
        <v>Personal Loan</v>
      </c>
      <c r="H278" s="31" t="str">
        <f>TRIM('1. Raw Data'!E278)</f>
        <v>Loans</v>
      </c>
      <c r="I278" s="31" t="str">
        <f>TRIM('1. Raw Data'!F278)</f>
        <v>Maria Lopez</v>
      </c>
      <c r="J278" s="33" t="str">
        <f>PROPER(TRIM('1. Raw Data'!G278))</f>
        <v>Inactive</v>
      </c>
      <c r="K278" s="33" t="str">
        <f>TRIM('1. Raw Data'!H278)</f>
        <v>Medium</v>
      </c>
      <c r="L278" s="35">
        <f>IFERROR(IF('1. Raw Data'!I278="",AVERAGE(IF('1. Raw Data'!I3:I402&lt;&gt;"",'1. Raw Data'!I3:I402)),VALUE('1. Raw Data'!I278)),0)</f>
        <v>211805.23</v>
      </c>
      <c r="M278" s="36">
        <f>IFERROR(IF('1. Raw Data'!J278="",AVERAGE(IF('1. Raw Data'!J3:J402&lt;&gt;"",'1. Raw Data'!J3:J402)),VALUE('1. Raw Data'!J278)),0)</f>
        <v>13.87</v>
      </c>
      <c r="N278" s="34">
        <f>'1. Raw Data'!K278</f>
        <v>360</v>
      </c>
      <c r="O278" s="35">
        <f t="shared" si="19"/>
        <v>2487.8425905109111</v>
      </c>
      <c r="P278" s="34">
        <f>'1. Raw Data'!L278</f>
        <v>49</v>
      </c>
      <c r="Q278" s="33" t="str">
        <f>TRIM('1. Raw Data'!M278)</f>
        <v>Premium</v>
      </c>
    </row>
    <row r="279" spans="1:17" ht="16.5" customHeight="1" x14ac:dyDescent="0.45">
      <c r="A279" s="25" t="str">
        <f>'1. Raw Data'!A279</f>
        <v>TXN-100277</v>
      </c>
      <c r="B279" s="26">
        <f>IFERROR(DATEVALUE('1. Raw Data'!B279),"")</f>
        <v>45413</v>
      </c>
      <c r="C279" s="27" t="str">
        <f t="shared" si="16"/>
        <v>May</v>
      </c>
      <c r="D279" s="27" t="str">
        <f t="shared" si="17"/>
        <v>Q2</v>
      </c>
      <c r="E279" s="28">
        <f t="shared" si="18"/>
        <v>2024</v>
      </c>
      <c r="F279" s="25" t="str">
        <f>PROPER(TRIM('1. Raw Data'!C279))</f>
        <v>Northpark</v>
      </c>
      <c r="G279" s="25" t="str">
        <f>TRIM('1. Raw Data'!D279)</f>
        <v>Business Loan</v>
      </c>
      <c r="H279" s="25" t="str">
        <f>TRIM('1. Raw Data'!E279)</f>
        <v>Loans</v>
      </c>
      <c r="I279" s="25" t="str">
        <f>TRIM('1. Raw Data'!F279)</f>
        <v>Maria Lopez</v>
      </c>
      <c r="J279" s="27" t="str">
        <f>PROPER(TRIM('1. Raw Data'!G279))</f>
        <v>Pending</v>
      </c>
      <c r="K279" s="27" t="str">
        <f>TRIM('1. Raw Data'!H279)</f>
        <v>Low</v>
      </c>
      <c r="L279" s="29">
        <f>IFERROR(IF('1. Raw Data'!I279="",AVERAGE(IF('1. Raw Data'!I3:I402&lt;&gt;"",'1. Raw Data'!I3:I402)),VALUE('1. Raw Data'!I279)),0)</f>
        <v>220387.27</v>
      </c>
      <c r="M279" s="30">
        <f>IFERROR(IF('1. Raw Data'!J279="",AVERAGE(IF('1. Raw Data'!J3:J402&lt;&gt;"",'1. Raw Data'!J3:J402)),VALUE('1. Raw Data'!J279)),0)</f>
        <v>9.15</v>
      </c>
      <c r="N279" s="28">
        <f>'1. Raw Data'!K279</f>
        <v>60</v>
      </c>
      <c r="O279" s="29">
        <f t="shared" si="19"/>
        <v>4590.9380514443337</v>
      </c>
      <c r="P279" s="28">
        <f>'1. Raw Data'!L279</f>
        <v>66</v>
      </c>
      <c r="Q279" s="27" t="str">
        <f>TRIM('1. Raw Data'!M279)</f>
        <v>Premium</v>
      </c>
    </row>
    <row r="280" spans="1:17" ht="16.5" customHeight="1" x14ac:dyDescent="0.45">
      <c r="A280" s="31" t="str">
        <f>'1. Raw Data'!A280</f>
        <v>TXN-100278</v>
      </c>
      <c r="B280" s="32">
        <f>IFERROR(DATEVALUE('1. Raw Data'!B280),"")</f>
        <v>45318</v>
      </c>
      <c r="C280" s="33" t="str">
        <f t="shared" si="16"/>
        <v>Jan</v>
      </c>
      <c r="D280" s="33" t="str">
        <f t="shared" si="17"/>
        <v>Q1</v>
      </c>
      <c r="E280" s="34">
        <f t="shared" si="18"/>
        <v>2024</v>
      </c>
      <c r="F280" s="31" t="str">
        <f>PROPER(TRIM('1. Raw Data'!C280))</f>
        <v>Westside</v>
      </c>
      <c r="G280" s="31" t="str">
        <f>TRIM('1. Raw Data'!D280)</f>
        <v>Savings Account</v>
      </c>
      <c r="H280" s="31" t="str">
        <f>TRIM('1. Raw Data'!E280)</f>
        <v>Deposits</v>
      </c>
      <c r="I280" s="31" t="str">
        <f>TRIM('1. Raw Data'!F280)</f>
        <v>David Kim</v>
      </c>
      <c r="J280" s="33" t="str">
        <f>PROPER(TRIM('1. Raw Data'!G280))</f>
        <v>Inactive</v>
      </c>
      <c r="K280" s="33" t="str">
        <f>TRIM('1. Raw Data'!H280)</f>
        <v>Medium</v>
      </c>
      <c r="L280" s="35">
        <f>IFERROR(IF('1. Raw Data'!I280="",AVERAGE(IF('1. Raw Data'!I3:I402&lt;&gt;"",'1. Raw Data'!I3:I402)),VALUE('1. Raw Data'!I280)),0)</f>
        <v>81693.070000000007</v>
      </c>
      <c r="M280" s="36">
        <f>IFERROR(IF('1. Raw Data'!J280="",AVERAGE(IF('1. Raw Data'!J3:J402&lt;&gt;"",'1. Raw Data'!J3:J402)),VALUE('1. Raw Data'!J280)),0)</f>
        <v>8.84</v>
      </c>
      <c r="N280" s="34">
        <f>'1. Raw Data'!K280</f>
        <v>12</v>
      </c>
      <c r="O280" s="35">
        <f t="shared" si="19"/>
        <v>7138.1196820325385</v>
      </c>
      <c r="P280" s="34">
        <f>'1. Raw Data'!L280</f>
        <v>56</v>
      </c>
      <c r="Q280" s="33" t="str">
        <f>TRIM('1. Raw Data'!M280)</f>
        <v>Standard</v>
      </c>
    </row>
    <row r="281" spans="1:17" ht="16.5" customHeight="1" x14ac:dyDescent="0.45">
      <c r="A281" s="25" t="str">
        <f>'1. Raw Data'!A281</f>
        <v>TXN-100279</v>
      </c>
      <c r="B281" s="26">
        <f>IFERROR(DATEVALUE('1. Raw Data'!B281),"")</f>
        <v>45514</v>
      </c>
      <c r="C281" s="27" t="str">
        <f t="shared" si="16"/>
        <v>Aug</v>
      </c>
      <c r="D281" s="27" t="str">
        <f t="shared" si="17"/>
        <v>Q3</v>
      </c>
      <c r="E281" s="28">
        <f t="shared" si="18"/>
        <v>2024</v>
      </c>
      <c r="F281" s="25" t="str">
        <f>PROPER(TRIM('1. Raw Data'!C281))</f>
        <v>Westside</v>
      </c>
      <c r="G281" s="25" t="str">
        <f>TRIM('1. Raw Data'!D281)</f>
        <v>Auto Loan</v>
      </c>
      <c r="H281" s="25" t="str">
        <f>TRIM('1. Raw Data'!E281)</f>
        <v>Loans</v>
      </c>
      <c r="I281" s="25" t="str">
        <f>TRIM('1. Raw Data'!F281)</f>
        <v>James Patel</v>
      </c>
      <c r="J281" s="27" t="str">
        <f>PROPER(TRIM('1. Raw Data'!G281))</f>
        <v>Inactive</v>
      </c>
      <c r="K281" s="27" t="str">
        <f>TRIM('1. Raw Data'!H281)</f>
        <v>Low</v>
      </c>
      <c r="L281" s="29">
        <f>IFERROR(IF('1. Raw Data'!I281="",AVERAGE(IF('1. Raw Data'!I3:I402&lt;&gt;"",'1. Raw Data'!I3:I402)),VALUE('1. Raw Data'!I281)),0)</f>
        <v>112832.42</v>
      </c>
      <c r="M281" s="30">
        <f>IFERROR(IF('1. Raw Data'!J281="",AVERAGE(IF('1. Raw Data'!J3:J402&lt;&gt;"",'1. Raw Data'!J3:J402)),VALUE('1. Raw Data'!J281)),0)</f>
        <v>13.47</v>
      </c>
      <c r="N281" s="28">
        <f>'1. Raw Data'!K281</f>
        <v>60</v>
      </c>
      <c r="O281" s="29">
        <f t="shared" si="19"/>
        <v>2594.5130714184465</v>
      </c>
      <c r="P281" s="28">
        <f>'1. Raw Data'!L281</f>
        <v>49</v>
      </c>
      <c r="Q281" s="27" t="str">
        <f>TRIM('1. Raw Data'!M281)</f>
        <v>Premium</v>
      </c>
    </row>
    <row r="282" spans="1:17" ht="16.5" customHeight="1" x14ac:dyDescent="0.45">
      <c r="A282" s="31" t="str">
        <f>'1. Raw Data'!A282</f>
        <v>TXN-100280</v>
      </c>
      <c r="B282" s="32">
        <f>IFERROR(DATEVALUE('1. Raw Data'!B282),"")</f>
        <v>45592</v>
      </c>
      <c r="C282" s="33" t="str">
        <f t="shared" si="16"/>
        <v>Oct</v>
      </c>
      <c r="D282" s="33" t="str">
        <f t="shared" si="17"/>
        <v>Q4</v>
      </c>
      <c r="E282" s="34">
        <f t="shared" si="18"/>
        <v>2024</v>
      </c>
      <c r="F282" s="31" t="str">
        <f>PROPER(TRIM('1. Raw Data'!C282))</f>
        <v>Westside</v>
      </c>
      <c r="G282" s="31" t="str">
        <f>TRIM('1. Raw Data'!D282)</f>
        <v>Checking Account</v>
      </c>
      <c r="H282" s="31" t="str">
        <f>TRIM('1. Raw Data'!E282)</f>
        <v>Deposits</v>
      </c>
      <c r="I282" s="31" t="str">
        <f>TRIM('1. Raw Data'!F282)</f>
        <v>Maria Lopez</v>
      </c>
      <c r="J282" s="33" t="str">
        <f>PROPER(TRIM('1. Raw Data'!G282))</f>
        <v>Active</v>
      </c>
      <c r="K282" s="33" t="str">
        <f>TRIM('1. Raw Data'!H282)</f>
        <v>Medium</v>
      </c>
      <c r="L282" s="35">
        <f>IFERROR(IF('1. Raw Data'!I282="",AVERAGE(IF('1. Raw Data'!I3:I402&lt;&gt;"",'1. Raw Data'!I3:I402)),VALUE('1. Raw Data'!I282)),0)</f>
        <v>64114.46</v>
      </c>
      <c r="M282" s="36">
        <f>IFERROR(IF('1. Raw Data'!J282="",AVERAGE(IF('1. Raw Data'!J3:J402&lt;&gt;"",'1. Raw Data'!J3:J402)),VALUE('1. Raw Data'!J282)),0)</f>
        <v>11.57</v>
      </c>
      <c r="N282" s="34">
        <f>'1. Raw Data'!K282</f>
        <v>24</v>
      </c>
      <c r="O282" s="35">
        <f t="shared" si="19"/>
        <v>3005.2317210138376</v>
      </c>
      <c r="P282" s="34">
        <f>'1. Raw Data'!L282</f>
        <v>40</v>
      </c>
      <c r="Q282" s="33" t="str">
        <f>TRIM('1. Raw Data'!M282)</f>
        <v>Standard</v>
      </c>
    </row>
    <row r="283" spans="1:17" ht="16.5" customHeight="1" x14ac:dyDescent="0.45">
      <c r="A283" s="25" t="str">
        <f>'1. Raw Data'!A283</f>
        <v>TXN-100281</v>
      </c>
      <c r="B283" s="26">
        <f>IFERROR(DATEVALUE('1. Raw Data'!B283),"")</f>
        <v>45528</v>
      </c>
      <c r="C283" s="27" t="str">
        <f t="shared" si="16"/>
        <v>Aug</v>
      </c>
      <c r="D283" s="27" t="str">
        <f t="shared" si="17"/>
        <v>Q3</v>
      </c>
      <c r="E283" s="28">
        <f t="shared" si="18"/>
        <v>2024</v>
      </c>
      <c r="F283" s="25" t="str">
        <f>PROPER(TRIM('1. Raw Data'!C283))</f>
        <v>Eastgate</v>
      </c>
      <c r="G283" s="25" t="str">
        <f>TRIM('1. Raw Data'!D283)</f>
        <v>Savings Account</v>
      </c>
      <c r="H283" s="25" t="str">
        <f>TRIM('1. Raw Data'!E283)</f>
        <v>Deposits</v>
      </c>
      <c r="I283" s="25" t="str">
        <f>TRIM('1. Raw Data'!F283)</f>
        <v>David Kim</v>
      </c>
      <c r="J283" s="27" t="str">
        <f>PROPER(TRIM('1. Raw Data'!G283))</f>
        <v>Active</v>
      </c>
      <c r="K283" s="27" t="str">
        <f>TRIM('1. Raw Data'!H283)</f>
        <v>High</v>
      </c>
      <c r="L283" s="29">
        <f>IFERROR(IF('1. Raw Data'!I283="",AVERAGE(IF('1. Raw Data'!I3:I402&lt;&gt;"",'1. Raw Data'!I3:I402)),VALUE('1. Raw Data'!I283)),0)</f>
        <v>152820.07</v>
      </c>
      <c r="M283" s="30">
        <f>IFERROR(IF('1. Raw Data'!J283="",AVERAGE(IF('1. Raw Data'!J3:J402&lt;&gt;"",'1. Raw Data'!J3:J402)),VALUE('1. Raw Data'!J283)),0)</f>
        <v>3.95</v>
      </c>
      <c r="N283" s="28">
        <f>'1. Raw Data'!K283</f>
        <v>36</v>
      </c>
      <c r="O283" s="29">
        <f t="shared" si="19"/>
        <v>4508.4591827926897</v>
      </c>
      <c r="P283" s="28">
        <f>'1. Raw Data'!L283</f>
        <v>40</v>
      </c>
      <c r="Q283" s="27" t="str">
        <f>TRIM('1. Raw Data'!M283)</f>
        <v>Premium</v>
      </c>
    </row>
    <row r="284" spans="1:17" ht="16.5" customHeight="1" x14ac:dyDescent="0.45">
      <c r="A284" s="31" t="str">
        <f>'1. Raw Data'!A284</f>
        <v>TXN-100282</v>
      </c>
      <c r="B284" s="32">
        <f>IFERROR(DATEVALUE('1. Raw Data'!B284),"")</f>
        <v>45311</v>
      </c>
      <c r="C284" s="33" t="str">
        <f t="shared" si="16"/>
        <v>Jan</v>
      </c>
      <c r="D284" s="33" t="str">
        <f t="shared" si="17"/>
        <v>Q1</v>
      </c>
      <c r="E284" s="34">
        <f t="shared" si="18"/>
        <v>2024</v>
      </c>
      <c r="F284" s="31" t="str">
        <f>PROPER(TRIM('1. Raw Data'!C284))</f>
        <v>Downtown</v>
      </c>
      <c r="G284" s="31" t="str">
        <f>TRIM('1. Raw Data'!D284)</f>
        <v>Fixed Deposit</v>
      </c>
      <c r="H284" s="31" t="str">
        <f>TRIM('1. Raw Data'!E284)</f>
        <v>Deposits</v>
      </c>
      <c r="I284" s="31" t="str">
        <f>TRIM('1. Raw Data'!F284)</f>
        <v>James Patel</v>
      </c>
      <c r="J284" s="33" t="str">
        <f>PROPER(TRIM('1. Raw Data'!G284))</f>
        <v>Active</v>
      </c>
      <c r="K284" s="33" t="str">
        <f>TRIM('1. Raw Data'!H284)</f>
        <v>Medium</v>
      </c>
      <c r="L284" s="35">
        <f>IFERROR(IF('1. Raw Data'!I284="",AVERAGE(IF('1. Raw Data'!I3:I402&lt;&gt;"",'1. Raw Data'!I3:I402)),VALUE('1. Raw Data'!I284)),0)</f>
        <v>208955.09</v>
      </c>
      <c r="M284" s="36">
        <f>IFERROR(IF('1. Raw Data'!J284="",AVERAGE(IF('1. Raw Data'!J3:J402&lt;&gt;"",'1. Raw Data'!J3:J402)),VALUE('1. Raw Data'!J284)),0)</f>
        <v>10.220000000000001</v>
      </c>
      <c r="N284" s="34">
        <f>'1. Raw Data'!K284</f>
        <v>60</v>
      </c>
      <c r="O284" s="35">
        <f t="shared" si="19"/>
        <v>4462.3311232969763</v>
      </c>
      <c r="P284" s="34">
        <f>'1. Raw Data'!L284</f>
        <v>22</v>
      </c>
      <c r="Q284" s="33" t="str">
        <f>TRIM('1. Raw Data'!M284)</f>
        <v>Premium</v>
      </c>
    </row>
    <row r="285" spans="1:17" ht="16.5" customHeight="1" x14ac:dyDescent="0.45">
      <c r="A285" s="25" t="str">
        <f>'1. Raw Data'!A285</f>
        <v>TXN-100283</v>
      </c>
      <c r="B285" s="26">
        <f>IFERROR(DATEVALUE('1. Raw Data'!B285),"")</f>
        <v>45366</v>
      </c>
      <c r="C285" s="27" t="str">
        <f t="shared" si="16"/>
        <v>Mar</v>
      </c>
      <c r="D285" s="27" t="str">
        <f t="shared" si="17"/>
        <v>Q1</v>
      </c>
      <c r="E285" s="28">
        <f t="shared" si="18"/>
        <v>2024</v>
      </c>
      <c r="F285" s="25" t="str">
        <f>PROPER(TRIM('1. Raw Data'!C285))</f>
        <v>Eastgate</v>
      </c>
      <c r="G285" s="25" t="str">
        <f>TRIM('1. Raw Data'!D285)</f>
        <v>Auto Loan</v>
      </c>
      <c r="H285" s="25" t="str">
        <f>TRIM('1. Raw Data'!E285)</f>
        <v>Loans</v>
      </c>
      <c r="I285" s="25" t="str">
        <f>TRIM('1. Raw Data'!F285)</f>
        <v>Maria Lopez</v>
      </c>
      <c r="J285" s="27" t="str">
        <f>PROPER(TRIM('1. Raw Data'!G285))</f>
        <v>Active</v>
      </c>
      <c r="K285" s="27" t="str">
        <f>TRIM('1. Raw Data'!H285)</f>
        <v>Medium</v>
      </c>
      <c r="L285" s="29">
        <f>IFERROR(IF('1. Raw Data'!I285="",AVERAGE(IF('1. Raw Data'!I3:I402&lt;&gt;"",'1. Raw Data'!I3:I402)),VALUE('1. Raw Data'!I285)),0)</f>
        <v>11918.1</v>
      </c>
      <c r="M285" s="30">
        <f>IFERROR(IF('1. Raw Data'!J285="",AVERAGE(IF('1. Raw Data'!J3:J402&lt;&gt;"",'1. Raw Data'!J3:J402)),VALUE('1. Raw Data'!J285)),0)</f>
        <v>8.5399999999999991</v>
      </c>
      <c r="N285" s="28">
        <f>'1. Raw Data'!K285</f>
        <v>24</v>
      </c>
      <c r="O285" s="29">
        <f t="shared" si="19"/>
        <v>541.96338277863538</v>
      </c>
      <c r="P285" s="28">
        <f>'1. Raw Data'!L285</f>
        <v>27</v>
      </c>
      <c r="Q285" s="27" t="str">
        <f>TRIM('1. Raw Data'!M285)</f>
        <v>Basic</v>
      </c>
    </row>
    <row r="286" spans="1:17" ht="16.5" customHeight="1" x14ac:dyDescent="0.45">
      <c r="A286" s="31" t="str">
        <f>'1. Raw Data'!A286</f>
        <v>TXN-100284</v>
      </c>
      <c r="B286" s="32">
        <f>IFERROR(DATEVALUE('1. Raw Data'!B286),"")</f>
        <v>45333</v>
      </c>
      <c r="C286" s="33" t="str">
        <f t="shared" si="16"/>
        <v>Feb</v>
      </c>
      <c r="D286" s="33" t="str">
        <f t="shared" si="17"/>
        <v>Q1</v>
      </c>
      <c r="E286" s="34">
        <f t="shared" si="18"/>
        <v>2024</v>
      </c>
      <c r="F286" s="31" t="str">
        <f>PROPER(TRIM('1. Raw Data'!C286))</f>
        <v>Northpark</v>
      </c>
      <c r="G286" s="31" t="str">
        <f>TRIM('1. Raw Data'!D286)</f>
        <v>Mortgage</v>
      </c>
      <c r="H286" s="31" t="str">
        <f>TRIM('1. Raw Data'!E286)</f>
        <v>Loans</v>
      </c>
      <c r="I286" s="31" t="str">
        <f>TRIM('1. Raw Data'!F286)</f>
        <v>James Patel</v>
      </c>
      <c r="J286" s="33" t="str">
        <f>PROPER(TRIM('1. Raw Data'!G286))</f>
        <v>Active</v>
      </c>
      <c r="K286" s="33" t="str">
        <f>TRIM('1. Raw Data'!H286)</f>
        <v>Low</v>
      </c>
      <c r="L286" s="35">
        <f>IFERROR(IF('1. Raw Data'!I286="",AVERAGE(IF('1. Raw Data'!I3:I402&lt;&gt;"",'1. Raw Data'!I3:I402)),VALUE('1. Raw Data'!I286)),0)</f>
        <v>39549.14</v>
      </c>
      <c r="M286" s="36">
        <f>IFERROR(IF('1. Raw Data'!J286="",AVERAGE(IF('1. Raw Data'!J3:J402&lt;&gt;"",'1. Raw Data'!J3:J402)),VALUE('1. Raw Data'!J286)),0)</f>
        <v>7.75</v>
      </c>
      <c r="N286" s="34">
        <f>'1. Raw Data'!K286</f>
        <v>60</v>
      </c>
      <c r="O286" s="35">
        <f t="shared" si="19"/>
        <v>797.19042316663115</v>
      </c>
      <c r="P286" s="34">
        <f>'1. Raw Data'!L286</f>
        <v>33</v>
      </c>
      <c r="Q286" s="33" t="str">
        <f>TRIM('1. Raw Data'!M286)</f>
        <v>Standard</v>
      </c>
    </row>
    <row r="287" spans="1:17" ht="16.5" customHeight="1" x14ac:dyDescent="0.45">
      <c r="A287" s="25" t="str">
        <f>'1. Raw Data'!A287</f>
        <v>TXN-100285</v>
      </c>
      <c r="B287" s="26">
        <f>IFERROR(DATEVALUE('1. Raw Data'!B287),"")</f>
        <v>45436</v>
      </c>
      <c r="C287" s="27" t="str">
        <f t="shared" si="16"/>
        <v>May</v>
      </c>
      <c r="D287" s="27" t="str">
        <f t="shared" si="17"/>
        <v>Q2</v>
      </c>
      <c r="E287" s="28">
        <f t="shared" si="18"/>
        <v>2024</v>
      </c>
      <c r="F287" s="25" t="str">
        <f>PROPER(TRIM('1. Raw Data'!C287))</f>
        <v>Northpark</v>
      </c>
      <c r="G287" s="25" t="str">
        <f>TRIM('1. Raw Data'!D287)</f>
        <v>Mortgage</v>
      </c>
      <c r="H287" s="25" t="str">
        <f>TRIM('1. Raw Data'!E287)</f>
        <v>Loans</v>
      </c>
      <c r="I287" s="25" t="str">
        <f>TRIM('1. Raw Data'!F287)</f>
        <v>Maria Lopez</v>
      </c>
      <c r="J287" s="27" t="str">
        <f>PROPER(TRIM('1. Raw Data'!G287))</f>
        <v>Active</v>
      </c>
      <c r="K287" s="27" t="str">
        <f>TRIM('1. Raw Data'!H287)</f>
        <v>High</v>
      </c>
      <c r="L287" s="29">
        <f>IFERROR(IF('1. Raw Data'!I287="",AVERAGE(IF('1. Raw Data'!I3:I402&lt;&gt;"",'1. Raw Data'!I3:I402)),VALUE('1. Raw Data'!I287)),0)</f>
        <v>226554.49</v>
      </c>
      <c r="M287" s="30">
        <f>IFERROR(IF('1. Raw Data'!J287="",AVERAGE(IF('1. Raw Data'!J3:J402&lt;&gt;"",'1. Raw Data'!J3:J402)),VALUE('1. Raw Data'!J287)),0)</f>
        <v>3.12</v>
      </c>
      <c r="N287" s="28">
        <f>'1. Raw Data'!K287</f>
        <v>48</v>
      </c>
      <c r="O287" s="29">
        <f t="shared" si="19"/>
        <v>5026.6557405782614</v>
      </c>
      <c r="P287" s="28">
        <f>'1. Raw Data'!L287</f>
        <v>35</v>
      </c>
      <c r="Q287" s="27" t="str">
        <f>TRIM('1. Raw Data'!M287)</f>
        <v>Premium</v>
      </c>
    </row>
    <row r="288" spans="1:17" ht="16.5" customHeight="1" x14ac:dyDescent="0.45">
      <c r="A288" s="31" t="str">
        <f>'1. Raw Data'!A288</f>
        <v>TXN-100286</v>
      </c>
      <c r="B288" s="32">
        <f>IFERROR(DATEVALUE('1. Raw Data'!B288),"")</f>
        <v>45406</v>
      </c>
      <c r="C288" s="33" t="str">
        <f t="shared" si="16"/>
        <v>Apr</v>
      </c>
      <c r="D288" s="33" t="str">
        <f t="shared" si="17"/>
        <v>Q2</v>
      </c>
      <c r="E288" s="34">
        <f t="shared" si="18"/>
        <v>2024</v>
      </c>
      <c r="F288" s="31" t="str">
        <f>PROPER(TRIM('1. Raw Data'!C288))</f>
        <v>Eastgate</v>
      </c>
      <c r="G288" s="31" t="str">
        <f>TRIM('1. Raw Data'!D288)</f>
        <v>Personal Loan</v>
      </c>
      <c r="H288" s="31" t="str">
        <f>TRIM('1. Raw Data'!E288)</f>
        <v>Loans</v>
      </c>
      <c r="I288" s="31" t="str">
        <f>TRIM('1. Raw Data'!F288)</f>
        <v>Sarah Chen</v>
      </c>
      <c r="J288" s="33" t="str">
        <f>PROPER(TRIM('1. Raw Data'!G288))</f>
        <v>Active</v>
      </c>
      <c r="K288" s="33" t="str">
        <f>TRIM('1. Raw Data'!H288)</f>
        <v>Medium</v>
      </c>
      <c r="L288" s="35">
        <f>IFERROR(IF('1. Raw Data'!I288="",AVERAGE(IF('1. Raw Data'!I3:I402&lt;&gt;"",'1. Raw Data'!I3:I402)),VALUE('1. Raw Data'!I288)),0)</f>
        <v>155099.14000000001</v>
      </c>
      <c r="M288" s="36">
        <f>IFERROR(IF('1. Raw Data'!J288="",AVERAGE(IF('1. Raw Data'!J3:J402&lt;&gt;"",'1. Raw Data'!J3:J402)),VALUE('1. Raw Data'!J288)),0)</f>
        <v>11.12</v>
      </c>
      <c r="N288" s="34">
        <f>'1. Raw Data'!K288</f>
        <v>360</v>
      </c>
      <c r="O288" s="35">
        <f t="shared" si="19"/>
        <v>1491.1260766180283</v>
      </c>
      <c r="P288" s="34">
        <f>'1. Raw Data'!L288</f>
        <v>65</v>
      </c>
      <c r="Q288" s="33" t="str">
        <f>TRIM('1. Raw Data'!M288)</f>
        <v>Premium</v>
      </c>
    </row>
    <row r="289" spans="1:17" ht="16.5" customHeight="1" x14ac:dyDescent="0.45">
      <c r="A289" s="25" t="str">
        <f>'1. Raw Data'!A289</f>
        <v>TXN-100287</v>
      </c>
      <c r="B289" s="26">
        <f>IFERROR(DATEVALUE('1. Raw Data'!B289),"")</f>
        <v>45519</v>
      </c>
      <c r="C289" s="27" t="str">
        <f t="shared" si="16"/>
        <v>Aug</v>
      </c>
      <c r="D289" s="27" t="str">
        <f t="shared" si="17"/>
        <v>Q3</v>
      </c>
      <c r="E289" s="28">
        <f t="shared" si="18"/>
        <v>2024</v>
      </c>
      <c r="F289" s="25" t="str">
        <f>PROPER(TRIM('1. Raw Data'!C289))</f>
        <v>Eastgate</v>
      </c>
      <c r="G289" s="25" t="str">
        <f>TRIM('1. Raw Data'!D289)</f>
        <v>Credit Card</v>
      </c>
      <c r="H289" s="25" t="str">
        <f>TRIM('1. Raw Data'!E289)</f>
        <v>Cards</v>
      </c>
      <c r="I289" s="25" t="str">
        <f>TRIM('1. Raw Data'!F289)</f>
        <v>Sarah Chen</v>
      </c>
      <c r="J289" s="27" t="str">
        <f>PROPER(TRIM('1. Raw Data'!G289))</f>
        <v>Active</v>
      </c>
      <c r="K289" s="27" t="str">
        <f>TRIM('1. Raw Data'!H289)</f>
        <v>High</v>
      </c>
      <c r="L289" s="29">
        <f>IFERROR(IF('1. Raw Data'!I289="",AVERAGE(IF('1. Raw Data'!I3:I402&lt;&gt;"",'1. Raw Data'!I3:I402)),VALUE('1. Raw Data'!I289)),0)</f>
        <v>249851.93</v>
      </c>
      <c r="M289" s="30">
        <f>IFERROR(IF('1. Raw Data'!J289="",AVERAGE(IF('1. Raw Data'!J3:J402&lt;&gt;"",'1. Raw Data'!J3:J402)),VALUE('1. Raw Data'!J289)),0)</f>
        <v>10.69</v>
      </c>
      <c r="N289" s="28">
        <f>'1. Raw Data'!K289</f>
        <v>36</v>
      </c>
      <c r="O289" s="29">
        <f t="shared" si="19"/>
        <v>8143.2010178425498</v>
      </c>
      <c r="P289" s="28">
        <f>'1. Raw Data'!L289</f>
        <v>35</v>
      </c>
      <c r="Q289" s="27" t="str">
        <f>TRIM('1. Raw Data'!M289)</f>
        <v>Premium</v>
      </c>
    </row>
    <row r="290" spans="1:17" ht="16.5" customHeight="1" x14ac:dyDescent="0.45">
      <c r="A290" s="31" t="str">
        <f>'1. Raw Data'!A290</f>
        <v>TXN-100288</v>
      </c>
      <c r="B290" s="32">
        <f>IFERROR(DATEVALUE('1. Raw Data'!B290),"")</f>
        <v>45416</v>
      </c>
      <c r="C290" s="33" t="str">
        <f t="shared" si="16"/>
        <v>May</v>
      </c>
      <c r="D290" s="33" t="str">
        <f t="shared" si="17"/>
        <v>Q2</v>
      </c>
      <c r="E290" s="34">
        <f t="shared" si="18"/>
        <v>2024</v>
      </c>
      <c r="F290" s="31" t="str">
        <f>PROPER(TRIM('1. Raw Data'!C290))</f>
        <v>Downtown</v>
      </c>
      <c r="G290" s="31" t="str">
        <f>TRIM('1. Raw Data'!D290)</f>
        <v>Savings Account</v>
      </c>
      <c r="H290" s="31" t="str">
        <f>TRIM('1. Raw Data'!E290)</f>
        <v>Deposits</v>
      </c>
      <c r="I290" s="31" t="str">
        <f>TRIM('1. Raw Data'!F290)</f>
        <v>Maria Lopez</v>
      </c>
      <c r="J290" s="33" t="str">
        <f>PROPER(TRIM('1. Raw Data'!G290))</f>
        <v>Pending</v>
      </c>
      <c r="K290" s="33" t="str">
        <f>TRIM('1. Raw Data'!H290)</f>
        <v>Medium</v>
      </c>
      <c r="L290" s="35">
        <f>IFERROR(IF('1. Raw Data'!I290="",AVERAGE(IF('1. Raw Data'!I3:I402&lt;&gt;"",'1. Raw Data'!I3:I402)),VALUE('1. Raw Data'!I290)),0)</f>
        <v>22071.89</v>
      </c>
      <c r="M290" s="36">
        <f>IFERROR(IF('1. Raw Data'!J290="",AVERAGE(IF('1. Raw Data'!J3:J402&lt;&gt;"",'1. Raw Data'!J3:J402)),VALUE('1. Raw Data'!J290)),0)</f>
        <v>8.6</v>
      </c>
      <c r="N290" s="34">
        <f>'1. Raw Data'!K290</f>
        <v>120</v>
      </c>
      <c r="O290" s="35">
        <f t="shared" si="19"/>
        <v>274.84172528263502</v>
      </c>
      <c r="P290" s="34">
        <f>'1. Raw Data'!L290</f>
        <v>23</v>
      </c>
      <c r="Q290" s="33" t="str">
        <f>TRIM('1. Raw Data'!M290)</f>
        <v>Basic</v>
      </c>
    </row>
    <row r="291" spans="1:17" ht="16.5" customHeight="1" x14ac:dyDescent="0.45">
      <c r="A291" s="25" t="str">
        <f>'1. Raw Data'!A291</f>
        <v>TXN-100289</v>
      </c>
      <c r="B291" s="26">
        <f>IFERROR(DATEVALUE('1. Raw Data'!B291),"")</f>
        <v>45342</v>
      </c>
      <c r="C291" s="27" t="str">
        <f t="shared" si="16"/>
        <v>Feb</v>
      </c>
      <c r="D291" s="27" t="str">
        <f t="shared" si="17"/>
        <v>Q1</v>
      </c>
      <c r="E291" s="28">
        <f t="shared" si="18"/>
        <v>2024</v>
      </c>
      <c r="F291" s="25" t="str">
        <f>PROPER(TRIM('1. Raw Data'!C291))</f>
        <v>Uptown</v>
      </c>
      <c r="G291" s="25" t="str">
        <f>TRIM('1. Raw Data'!D291)</f>
        <v>Personal Loan</v>
      </c>
      <c r="H291" s="25" t="str">
        <f>TRIM('1. Raw Data'!E291)</f>
        <v>Loans</v>
      </c>
      <c r="I291" s="25" t="str">
        <f>TRIM('1. Raw Data'!F291)</f>
        <v>James Patel</v>
      </c>
      <c r="J291" s="27" t="str">
        <f>PROPER(TRIM('1. Raw Data'!G291))</f>
        <v>Active</v>
      </c>
      <c r="K291" s="27" t="str">
        <f>TRIM('1. Raw Data'!H291)</f>
        <v>Medium</v>
      </c>
      <c r="L291" s="29">
        <f>IFERROR(IF('1. Raw Data'!I291="",AVERAGE(IF('1. Raw Data'!I3:I402&lt;&gt;"",'1. Raw Data'!I3:I402)),VALUE('1. Raw Data'!I291)),0)</f>
        <v>245989.17</v>
      </c>
      <c r="M291" s="30">
        <f>IFERROR(IF('1. Raw Data'!J291="",AVERAGE(IF('1. Raw Data'!J3:J402&lt;&gt;"",'1. Raw Data'!J3:J402)),VALUE('1. Raw Data'!J291)),0)</f>
        <v>13.32</v>
      </c>
      <c r="N291" s="28">
        <f>'1. Raw Data'!K291</f>
        <v>240</v>
      </c>
      <c r="O291" s="29">
        <f t="shared" si="19"/>
        <v>2938.2082874707417</v>
      </c>
      <c r="P291" s="28">
        <f>'1. Raw Data'!L291</f>
        <v>28</v>
      </c>
      <c r="Q291" s="27" t="str">
        <f>TRIM('1. Raw Data'!M291)</f>
        <v>Premium</v>
      </c>
    </row>
    <row r="292" spans="1:17" ht="16.5" customHeight="1" x14ac:dyDescent="0.45">
      <c r="A292" s="31" t="str">
        <f>'1. Raw Data'!A292</f>
        <v>TXN-100290</v>
      </c>
      <c r="B292" s="32">
        <f>IFERROR(DATEVALUE('1. Raw Data'!B292),"")</f>
        <v>45640</v>
      </c>
      <c r="C292" s="33" t="str">
        <f t="shared" si="16"/>
        <v>Dec</v>
      </c>
      <c r="D292" s="33" t="str">
        <f t="shared" si="17"/>
        <v>Q4</v>
      </c>
      <c r="E292" s="34">
        <f t="shared" si="18"/>
        <v>2024</v>
      </c>
      <c r="F292" s="31" t="str">
        <f>PROPER(TRIM('1. Raw Data'!C292))</f>
        <v>Uptown</v>
      </c>
      <c r="G292" s="31" t="str">
        <f>TRIM('1. Raw Data'!D292)</f>
        <v>Auto Loan</v>
      </c>
      <c r="H292" s="31" t="str">
        <f>TRIM('1. Raw Data'!E292)</f>
        <v>Loans</v>
      </c>
      <c r="I292" s="31" t="str">
        <f>TRIM('1. Raw Data'!F292)</f>
        <v>Sarah Chen</v>
      </c>
      <c r="J292" s="33" t="str">
        <f>PROPER(TRIM('1. Raw Data'!G292))</f>
        <v>Active</v>
      </c>
      <c r="K292" s="33" t="str">
        <f>TRIM('1. Raw Data'!H292)</f>
        <v>Low</v>
      </c>
      <c r="L292" s="35">
        <f>IFERROR(IF('1. Raw Data'!I292="",AVERAGE(IF('1. Raw Data'!I3:I402&lt;&gt;"",'1. Raw Data'!I3:I402)),VALUE('1. Raw Data'!I292)),0)</f>
        <v>46279.05</v>
      </c>
      <c r="M292" s="36">
        <f>IFERROR(IF('1. Raw Data'!J292="",AVERAGE(IF('1. Raw Data'!J3:J402&lt;&gt;"",'1. Raw Data'!J3:J402)),VALUE('1. Raw Data'!J292)),0)</f>
        <v>8.08</v>
      </c>
      <c r="N292" s="34">
        <f>'1. Raw Data'!K292</f>
        <v>12</v>
      </c>
      <c r="O292" s="35">
        <f t="shared" si="19"/>
        <v>4027.4538886191099</v>
      </c>
      <c r="P292" s="34">
        <f>'1. Raw Data'!L292</f>
        <v>61</v>
      </c>
      <c r="Q292" s="33" t="str">
        <f>TRIM('1. Raw Data'!M292)</f>
        <v>Standard</v>
      </c>
    </row>
    <row r="293" spans="1:17" ht="16.5" customHeight="1" x14ac:dyDescent="0.45">
      <c r="A293" s="25" t="str">
        <f>'1. Raw Data'!A293</f>
        <v>TXN-100291</v>
      </c>
      <c r="B293" s="26">
        <f>IFERROR(DATEVALUE('1. Raw Data'!B293),"")</f>
        <v>45498</v>
      </c>
      <c r="C293" s="27" t="str">
        <f t="shared" si="16"/>
        <v>Jul</v>
      </c>
      <c r="D293" s="27" t="str">
        <f t="shared" si="17"/>
        <v>Q3</v>
      </c>
      <c r="E293" s="28">
        <f t="shared" si="18"/>
        <v>2024</v>
      </c>
      <c r="F293" s="25" t="str">
        <f>PROPER(TRIM('1. Raw Data'!C293))</f>
        <v>Eastgate</v>
      </c>
      <c r="G293" s="25" t="str">
        <f>TRIM('1. Raw Data'!D293)</f>
        <v>Mortgage</v>
      </c>
      <c r="H293" s="25" t="str">
        <f>TRIM('1. Raw Data'!E293)</f>
        <v>Loans</v>
      </c>
      <c r="I293" s="25" t="str">
        <f>TRIM('1. Raw Data'!F293)</f>
        <v>Maria Lopez</v>
      </c>
      <c r="J293" s="27" t="str">
        <f>PROPER(TRIM('1. Raw Data'!G293))</f>
        <v>Active</v>
      </c>
      <c r="K293" s="27" t="str">
        <f>TRIM('1. Raw Data'!H293)</f>
        <v>Low</v>
      </c>
      <c r="L293" s="29">
        <f>IFERROR(IF('1. Raw Data'!I293="",AVERAGE(IF('1. Raw Data'!I3:I402&lt;&gt;"",'1. Raw Data'!I3:I402)),VALUE('1. Raw Data'!I293)),0)</f>
        <v>54854.44</v>
      </c>
      <c r="M293" s="30">
        <f>IFERROR(IF('1. Raw Data'!J293="",AVERAGE(IF('1. Raw Data'!J3:J402&lt;&gt;"",'1. Raw Data'!J3:J402)),VALUE('1. Raw Data'!J293)),0)</f>
        <v>2.73</v>
      </c>
      <c r="N293" s="28">
        <f>'1. Raw Data'!K293</f>
        <v>24</v>
      </c>
      <c r="O293" s="29">
        <f t="shared" si="19"/>
        <v>2351.1646183969638</v>
      </c>
      <c r="P293" s="28">
        <f>'1. Raw Data'!L293</f>
        <v>72</v>
      </c>
      <c r="Q293" s="27" t="str">
        <f>TRIM('1. Raw Data'!M293)</f>
        <v>Standard</v>
      </c>
    </row>
    <row r="294" spans="1:17" ht="16.5" customHeight="1" x14ac:dyDescent="0.45">
      <c r="A294" s="31" t="str">
        <f>'1. Raw Data'!A294</f>
        <v>TXN-100292</v>
      </c>
      <c r="B294" s="32">
        <f>IFERROR(DATEVALUE('1. Raw Data'!B294),"")</f>
        <v>45417</v>
      </c>
      <c r="C294" s="33" t="str">
        <f t="shared" si="16"/>
        <v>May</v>
      </c>
      <c r="D294" s="33" t="str">
        <f t="shared" si="17"/>
        <v>Q2</v>
      </c>
      <c r="E294" s="34">
        <f t="shared" si="18"/>
        <v>2024</v>
      </c>
      <c r="F294" s="31" t="str">
        <f>PROPER(TRIM('1. Raw Data'!C294))</f>
        <v>Northpark</v>
      </c>
      <c r="G294" s="31" t="str">
        <f>TRIM('1. Raw Data'!D294)</f>
        <v>Checking Account</v>
      </c>
      <c r="H294" s="31" t="str">
        <f>TRIM('1. Raw Data'!E294)</f>
        <v>Deposits</v>
      </c>
      <c r="I294" s="31" t="str">
        <f>TRIM('1. Raw Data'!F294)</f>
        <v>Maria Lopez</v>
      </c>
      <c r="J294" s="33" t="str">
        <f>PROPER(TRIM('1. Raw Data'!G294))</f>
        <v>Active</v>
      </c>
      <c r="K294" s="33" t="str">
        <f>TRIM('1. Raw Data'!H294)</f>
        <v>High</v>
      </c>
      <c r="L294" s="35">
        <f>IFERROR(IF('1. Raw Data'!I294="",AVERAGE(IF('1. Raw Data'!I3:I402&lt;&gt;"",'1. Raw Data'!I3:I402)),VALUE('1. Raw Data'!I294)),0)</f>
        <v>126870.88</v>
      </c>
      <c r="M294" s="36">
        <f>IFERROR(IF('1. Raw Data'!J294="",AVERAGE(IF('1. Raw Data'!J3:J402&lt;&gt;"",'1. Raw Data'!J3:J402)),VALUE('1. Raw Data'!J294)),0)</f>
        <v>8.43</v>
      </c>
      <c r="N294" s="34">
        <f>'1. Raw Data'!K294</f>
        <v>12</v>
      </c>
      <c r="O294" s="35">
        <f t="shared" si="19"/>
        <v>11061.538668614836</v>
      </c>
      <c r="P294" s="34">
        <f>'1. Raw Data'!L294</f>
        <v>71</v>
      </c>
      <c r="Q294" s="33" t="str">
        <f>TRIM('1. Raw Data'!M294)</f>
        <v>Premium</v>
      </c>
    </row>
    <row r="295" spans="1:17" ht="16.5" customHeight="1" x14ac:dyDescent="0.45">
      <c r="A295" s="25" t="str">
        <f>'1. Raw Data'!A295</f>
        <v>TXN-100293</v>
      </c>
      <c r="B295" s="26">
        <f>IFERROR(DATEVALUE('1. Raw Data'!B295),"")</f>
        <v>45583</v>
      </c>
      <c r="C295" s="27" t="str">
        <f t="shared" si="16"/>
        <v>Oct</v>
      </c>
      <c r="D295" s="27" t="str">
        <f t="shared" si="17"/>
        <v>Q4</v>
      </c>
      <c r="E295" s="28">
        <f t="shared" si="18"/>
        <v>2024</v>
      </c>
      <c r="F295" s="25" t="str">
        <f>PROPER(TRIM('1. Raw Data'!C295))</f>
        <v>Westside</v>
      </c>
      <c r="G295" s="25" t="str">
        <f>TRIM('1. Raw Data'!D295)</f>
        <v>Personal Loan</v>
      </c>
      <c r="H295" s="25" t="str">
        <f>TRIM('1. Raw Data'!E295)</f>
        <v>Loans</v>
      </c>
      <c r="I295" s="25" t="str">
        <f>TRIM('1. Raw Data'!F295)</f>
        <v>David Kim</v>
      </c>
      <c r="J295" s="27" t="str">
        <f>PROPER(TRIM('1. Raw Data'!G295))</f>
        <v>Inactive</v>
      </c>
      <c r="K295" s="27" t="str">
        <f>TRIM('1. Raw Data'!H295)</f>
        <v>High</v>
      </c>
      <c r="L295" s="29">
        <f>IFERROR(IF('1. Raw Data'!I295="",AVERAGE(IF('1. Raw Data'!I3:I402&lt;&gt;"",'1. Raw Data'!I3:I402)),VALUE('1. Raw Data'!I295)),0)</f>
        <v>154028.74</v>
      </c>
      <c r="M295" s="30">
        <f>IFERROR(IF('1. Raw Data'!J295="",AVERAGE(IF('1. Raw Data'!J3:J402&lt;&gt;"",'1. Raw Data'!J3:J402)),VALUE('1. Raw Data'!J295)),0)</f>
        <v>8.5299999999999994</v>
      </c>
      <c r="N295" s="28">
        <f>'1. Raw Data'!K295</f>
        <v>360</v>
      </c>
      <c r="O295" s="29">
        <f t="shared" si="19"/>
        <v>1187.6241429507559</v>
      </c>
      <c r="P295" s="28">
        <f>'1. Raw Data'!L295</f>
        <v>45</v>
      </c>
      <c r="Q295" s="27" t="str">
        <f>TRIM('1. Raw Data'!M295)</f>
        <v>Premium</v>
      </c>
    </row>
    <row r="296" spans="1:17" ht="16.5" customHeight="1" x14ac:dyDescent="0.45">
      <c r="A296" s="31" t="str">
        <f>'1. Raw Data'!A296</f>
        <v>TXN-100294</v>
      </c>
      <c r="B296" s="32">
        <f>IFERROR(DATEVALUE('1. Raw Data'!B296),"")</f>
        <v>45527</v>
      </c>
      <c r="C296" s="33" t="str">
        <f t="shared" si="16"/>
        <v>Aug</v>
      </c>
      <c r="D296" s="33" t="str">
        <f t="shared" si="17"/>
        <v>Q3</v>
      </c>
      <c r="E296" s="34">
        <f t="shared" si="18"/>
        <v>2024</v>
      </c>
      <c r="F296" s="31" t="str">
        <f>PROPER(TRIM('1. Raw Data'!C296))</f>
        <v>Westside</v>
      </c>
      <c r="G296" s="31" t="str">
        <f>TRIM('1. Raw Data'!D296)</f>
        <v>Personal Loan</v>
      </c>
      <c r="H296" s="31" t="str">
        <f>TRIM('1. Raw Data'!E296)</f>
        <v>Loans</v>
      </c>
      <c r="I296" s="31" t="str">
        <f>TRIM('1. Raw Data'!F296)</f>
        <v>David Kim</v>
      </c>
      <c r="J296" s="33" t="str">
        <f>PROPER(TRIM('1. Raw Data'!G296))</f>
        <v>Active</v>
      </c>
      <c r="K296" s="33" t="str">
        <f>TRIM('1. Raw Data'!H296)</f>
        <v>Low</v>
      </c>
      <c r="L296" s="35">
        <f>IFERROR(IF('1. Raw Data'!I296="",AVERAGE(IF('1. Raw Data'!I3:I402&lt;&gt;"",'1. Raw Data'!I3:I402)),VALUE('1. Raw Data'!I296)),0)</f>
        <v>229378.71</v>
      </c>
      <c r="M296" s="36">
        <f>IFERROR(IF('1. Raw Data'!J296="",AVERAGE(IF('1. Raw Data'!J3:J402&lt;&gt;"",'1. Raw Data'!J3:J402)),VALUE('1. Raw Data'!J296)),0)</f>
        <v>6.26</v>
      </c>
      <c r="N296" s="34">
        <f>'1. Raw Data'!K296</f>
        <v>240</v>
      </c>
      <c r="O296" s="35">
        <f t="shared" si="19"/>
        <v>1677.9308951396861</v>
      </c>
      <c r="P296" s="34">
        <f>'1. Raw Data'!L296</f>
        <v>63</v>
      </c>
      <c r="Q296" s="33" t="str">
        <f>TRIM('1. Raw Data'!M296)</f>
        <v>Premium</v>
      </c>
    </row>
    <row r="297" spans="1:17" ht="16.5" customHeight="1" x14ac:dyDescent="0.45">
      <c r="A297" s="25" t="str">
        <f>'1. Raw Data'!A297</f>
        <v>TXN-100295</v>
      </c>
      <c r="B297" s="26">
        <f>IFERROR(DATEVALUE('1. Raw Data'!B297),"")</f>
        <v>45638</v>
      </c>
      <c r="C297" s="27" t="str">
        <f t="shared" si="16"/>
        <v>Dec</v>
      </c>
      <c r="D297" s="27" t="str">
        <f t="shared" si="17"/>
        <v>Q4</v>
      </c>
      <c r="E297" s="28">
        <f t="shared" si="18"/>
        <v>2024</v>
      </c>
      <c r="F297" s="25" t="str">
        <f>PROPER(TRIM('1. Raw Data'!C297))</f>
        <v>Uptown</v>
      </c>
      <c r="G297" s="25" t="str">
        <f>TRIM('1. Raw Data'!D297)</f>
        <v>Personal Loan</v>
      </c>
      <c r="H297" s="25" t="str">
        <f>TRIM('1. Raw Data'!E297)</f>
        <v>Loans</v>
      </c>
      <c r="I297" s="25" t="str">
        <f>TRIM('1. Raw Data'!F297)</f>
        <v>James Patel</v>
      </c>
      <c r="J297" s="27" t="str">
        <f>PROPER(TRIM('1. Raw Data'!G297))</f>
        <v>Active</v>
      </c>
      <c r="K297" s="27" t="str">
        <f>TRIM('1. Raw Data'!H297)</f>
        <v>Medium</v>
      </c>
      <c r="L297" s="29">
        <f>IFERROR(IF('1. Raw Data'!I297="",AVERAGE(IF('1. Raw Data'!I3:I402&lt;&gt;"",'1. Raw Data'!I3:I402)),VALUE('1. Raw Data'!I297)),0)</f>
        <v>171824.76</v>
      </c>
      <c r="M297" s="30">
        <f>IFERROR(IF('1. Raw Data'!J297="",AVERAGE(IF('1. Raw Data'!J3:J402&lt;&gt;"",'1. Raw Data'!J3:J402)),VALUE('1. Raw Data'!J297)),0)</f>
        <v>2.56</v>
      </c>
      <c r="N297" s="28">
        <f>'1. Raw Data'!K297</f>
        <v>180</v>
      </c>
      <c r="O297" s="29">
        <f t="shared" si="19"/>
        <v>1150.568377546306</v>
      </c>
      <c r="P297" s="28">
        <f>'1. Raw Data'!L297</f>
        <v>56</v>
      </c>
      <c r="Q297" s="27" t="str">
        <f>TRIM('1. Raw Data'!M297)</f>
        <v>Premium</v>
      </c>
    </row>
    <row r="298" spans="1:17" ht="16.5" customHeight="1" x14ac:dyDescent="0.45">
      <c r="A298" s="31" t="str">
        <f>'1. Raw Data'!A298</f>
        <v>TXN-100296</v>
      </c>
      <c r="B298" s="32">
        <f>IFERROR(DATEVALUE('1. Raw Data'!B298),"")</f>
        <v>45399</v>
      </c>
      <c r="C298" s="33" t="str">
        <f t="shared" si="16"/>
        <v>Apr</v>
      </c>
      <c r="D298" s="33" t="str">
        <f t="shared" si="17"/>
        <v>Q2</v>
      </c>
      <c r="E298" s="34">
        <f t="shared" si="18"/>
        <v>2024</v>
      </c>
      <c r="F298" s="31" t="str">
        <f>PROPER(TRIM('1. Raw Data'!C298))</f>
        <v>Uptown</v>
      </c>
      <c r="G298" s="31" t="str">
        <f>TRIM('1. Raw Data'!D298)</f>
        <v>Credit Card</v>
      </c>
      <c r="H298" s="31" t="str">
        <f>TRIM('1. Raw Data'!E298)</f>
        <v>Cards</v>
      </c>
      <c r="I298" s="31" t="str">
        <f>TRIM('1. Raw Data'!F298)</f>
        <v>David Kim</v>
      </c>
      <c r="J298" s="33" t="str">
        <f>PROPER(TRIM('1. Raw Data'!G298))</f>
        <v>Active</v>
      </c>
      <c r="K298" s="33" t="str">
        <f>TRIM('1. Raw Data'!H298)</f>
        <v>High</v>
      </c>
      <c r="L298" s="35">
        <f>IFERROR(IF('1. Raw Data'!I298="",AVERAGE(IF('1. Raw Data'!I3:I402&lt;&gt;"",'1. Raw Data'!I3:I402)),VALUE('1. Raw Data'!I298)),0)</f>
        <v>72137.789999999994</v>
      </c>
      <c r="M298" s="36">
        <f>IFERROR(IF('1. Raw Data'!J298="",AVERAGE(IF('1. Raw Data'!J3:J402&lt;&gt;"",'1. Raw Data'!J3:J402)),VALUE('1. Raw Data'!J298)),0)</f>
        <v>6.64</v>
      </c>
      <c r="N298" s="34">
        <f>'1. Raw Data'!K298</f>
        <v>24</v>
      </c>
      <c r="O298" s="35">
        <f t="shared" si="19"/>
        <v>3218.0346390898144</v>
      </c>
      <c r="P298" s="34">
        <f>'1. Raw Data'!L298</f>
        <v>33</v>
      </c>
      <c r="Q298" s="33" t="str">
        <f>TRIM('1. Raw Data'!M298)</f>
        <v>Standard</v>
      </c>
    </row>
    <row r="299" spans="1:17" ht="16.5" customHeight="1" x14ac:dyDescent="0.45">
      <c r="A299" s="25" t="str">
        <f>'1. Raw Data'!A299</f>
        <v>TXN-100297</v>
      </c>
      <c r="B299" s="26">
        <f>IFERROR(DATEVALUE('1. Raw Data'!B299),"")</f>
        <v>45329</v>
      </c>
      <c r="C299" s="27" t="str">
        <f t="shared" si="16"/>
        <v>Feb</v>
      </c>
      <c r="D299" s="27" t="str">
        <f t="shared" si="17"/>
        <v>Q1</v>
      </c>
      <c r="E299" s="28">
        <f t="shared" si="18"/>
        <v>2024</v>
      </c>
      <c r="F299" s="25" t="str">
        <f>PROPER(TRIM('1. Raw Data'!C299))</f>
        <v>Uptown</v>
      </c>
      <c r="G299" s="25" t="str">
        <f>TRIM('1. Raw Data'!D299)</f>
        <v>Fixed Deposit</v>
      </c>
      <c r="H299" s="25" t="str">
        <f>TRIM('1. Raw Data'!E299)</f>
        <v>Deposits</v>
      </c>
      <c r="I299" s="25" t="str">
        <f>TRIM('1. Raw Data'!F299)</f>
        <v>David Kim</v>
      </c>
      <c r="J299" s="27" t="str">
        <f>PROPER(TRIM('1. Raw Data'!G299))</f>
        <v>Active</v>
      </c>
      <c r="K299" s="27" t="str">
        <f>TRIM('1. Raw Data'!H299)</f>
        <v>Low</v>
      </c>
      <c r="L299" s="29">
        <f>IFERROR(IF('1. Raw Data'!I299="",AVERAGE(IF('1. Raw Data'!I3:I402&lt;&gt;"",'1. Raw Data'!I3:I402)),VALUE('1. Raw Data'!I299)),0)</f>
        <v>96158.04</v>
      </c>
      <c r="M299" s="30">
        <f>IFERROR(IF('1. Raw Data'!J299="",AVERAGE(IF('1. Raw Data'!J3:J402&lt;&gt;"",'1. Raw Data'!J3:J402)),VALUE('1. Raw Data'!J299)),0)</f>
        <v>6.39</v>
      </c>
      <c r="N299" s="28">
        <f>'1. Raw Data'!K299</f>
        <v>120</v>
      </c>
      <c r="O299" s="29">
        <f t="shared" si="19"/>
        <v>1086.4809522963312</v>
      </c>
      <c r="P299" s="28">
        <f>'1. Raw Data'!L299</f>
        <v>44</v>
      </c>
      <c r="Q299" s="27" t="str">
        <f>TRIM('1. Raw Data'!M299)</f>
        <v>Standard</v>
      </c>
    </row>
    <row r="300" spans="1:17" ht="16.5" customHeight="1" x14ac:dyDescent="0.45">
      <c r="A300" s="31" t="str">
        <f>'1. Raw Data'!A300</f>
        <v>TXN-100298</v>
      </c>
      <c r="B300" s="32">
        <f>IFERROR(DATEVALUE('1. Raw Data'!B300),"")</f>
        <v>45301</v>
      </c>
      <c r="C300" s="33" t="str">
        <f t="shared" si="16"/>
        <v>Jan</v>
      </c>
      <c r="D300" s="33" t="str">
        <f t="shared" si="17"/>
        <v>Q1</v>
      </c>
      <c r="E300" s="34">
        <f t="shared" si="18"/>
        <v>2024</v>
      </c>
      <c r="F300" s="31" t="str">
        <f>PROPER(TRIM('1. Raw Data'!C300))</f>
        <v>Uptown</v>
      </c>
      <c r="G300" s="31" t="str">
        <f>TRIM('1. Raw Data'!D300)</f>
        <v>Mortgage</v>
      </c>
      <c r="H300" s="31" t="str">
        <f>TRIM('1. Raw Data'!E300)</f>
        <v>Loans</v>
      </c>
      <c r="I300" s="31" t="str">
        <f>TRIM('1. Raw Data'!F300)</f>
        <v>David Kim</v>
      </c>
      <c r="J300" s="33" t="str">
        <f>PROPER(TRIM('1. Raw Data'!G300))</f>
        <v>Active</v>
      </c>
      <c r="K300" s="33" t="str">
        <f>TRIM('1. Raw Data'!H300)</f>
        <v>Medium</v>
      </c>
      <c r="L300" s="35">
        <f>IFERROR(IF('1. Raw Data'!I300="",AVERAGE(IF('1. Raw Data'!I3:I402&lt;&gt;"",'1. Raw Data'!I3:I402)),VALUE('1. Raw Data'!I300)),0)</f>
        <v>46873.48</v>
      </c>
      <c r="M300" s="36">
        <f>IFERROR(IF('1. Raw Data'!J300="",AVERAGE(IF('1. Raw Data'!J3:J402&lt;&gt;"",'1. Raw Data'!J3:J402)),VALUE('1. Raw Data'!J300)),0)</f>
        <v>5.07</v>
      </c>
      <c r="N300" s="34">
        <f>'1. Raw Data'!K300</f>
        <v>24</v>
      </c>
      <c r="O300" s="35">
        <f t="shared" si="19"/>
        <v>2057.8744684924127</v>
      </c>
      <c r="P300" s="34">
        <f>'1. Raw Data'!L300</f>
        <v>63</v>
      </c>
      <c r="Q300" s="33" t="str">
        <f>TRIM('1. Raw Data'!M300)</f>
        <v>Standard</v>
      </c>
    </row>
    <row r="301" spans="1:17" ht="16.5" customHeight="1" x14ac:dyDescent="0.45">
      <c r="A301" s="25" t="str">
        <f>'1. Raw Data'!A301</f>
        <v>TXN-100299</v>
      </c>
      <c r="B301" s="26">
        <f>IFERROR(DATEVALUE('1. Raw Data'!B301),"")</f>
        <v>45552</v>
      </c>
      <c r="C301" s="27" t="str">
        <f t="shared" si="16"/>
        <v>Sep</v>
      </c>
      <c r="D301" s="27" t="str">
        <f t="shared" si="17"/>
        <v>Q3</v>
      </c>
      <c r="E301" s="28">
        <f t="shared" si="18"/>
        <v>2024</v>
      </c>
      <c r="F301" s="25" t="str">
        <f>PROPER(TRIM('1. Raw Data'!C301))</f>
        <v>Northpark</v>
      </c>
      <c r="G301" s="25" t="str">
        <f>TRIM('1. Raw Data'!D301)</f>
        <v>Savings Account</v>
      </c>
      <c r="H301" s="25" t="str">
        <f>TRIM('1. Raw Data'!E301)</f>
        <v>Deposits</v>
      </c>
      <c r="I301" s="25" t="str">
        <f>TRIM('1. Raw Data'!F301)</f>
        <v>Maria Lopez</v>
      </c>
      <c r="J301" s="27" t="str">
        <f>PROPER(TRIM('1. Raw Data'!G301))</f>
        <v>Active</v>
      </c>
      <c r="K301" s="27" t="str">
        <f>TRIM('1. Raw Data'!H301)</f>
        <v>Medium</v>
      </c>
      <c r="L301" s="29">
        <f>IFERROR(IF('1. Raw Data'!I301="",AVERAGE(IF('1. Raw Data'!I3:I402&lt;&gt;"",'1. Raw Data'!I3:I402)),VALUE('1. Raw Data'!I301)),0)</f>
        <v>109297.99</v>
      </c>
      <c r="M301" s="30">
        <f>IFERROR(IF('1. Raw Data'!J301="",AVERAGE(IF('1. Raw Data'!J3:J402&lt;&gt;"",'1. Raw Data'!J3:J402)),VALUE('1. Raw Data'!J301)),0)</f>
        <v>5.68</v>
      </c>
      <c r="N301" s="28">
        <f>'1. Raw Data'!K301</f>
        <v>12</v>
      </c>
      <c r="O301" s="29">
        <f t="shared" si="19"/>
        <v>9390.8196231508045</v>
      </c>
      <c r="P301" s="28">
        <f>'1. Raw Data'!L301</f>
        <v>36</v>
      </c>
      <c r="Q301" s="27" t="str">
        <f>TRIM('1. Raw Data'!M301)</f>
        <v>Premium</v>
      </c>
    </row>
    <row r="302" spans="1:17" ht="16.5" customHeight="1" x14ac:dyDescent="0.45">
      <c r="A302" s="31" t="str">
        <f>'1. Raw Data'!A302</f>
        <v>TXN-100300</v>
      </c>
      <c r="B302" s="32">
        <f>IFERROR(DATEVALUE('1. Raw Data'!B302),"")</f>
        <v>45487</v>
      </c>
      <c r="C302" s="33" t="str">
        <f t="shared" si="16"/>
        <v>Jul</v>
      </c>
      <c r="D302" s="33" t="str">
        <f t="shared" si="17"/>
        <v>Q3</v>
      </c>
      <c r="E302" s="34">
        <f t="shared" si="18"/>
        <v>2024</v>
      </c>
      <c r="F302" s="31" t="str">
        <f>PROPER(TRIM('1. Raw Data'!C302))</f>
        <v>Northpark</v>
      </c>
      <c r="G302" s="31" t="str">
        <f>TRIM('1. Raw Data'!D302)</f>
        <v>Mortgage</v>
      </c>
      <c r="H302" s="31" t="str">
        <f>TRIM('1. Raw Data'!E302)</f>
        <v>Loans</v>
      </c>
      <c r="I302" s="31" t="str">
        <f>TRIM('1. Raw Data'!F302)</f>
        <v>Rachel Moore</v>
      </c>
      <c r="J302" s="33" t="str">
        <f>PROPER(TRIM('1. Raw Data'!G302))</f>
        <v>Active</v>
      </c>
      <c r="K302" s="33" t="str">
        <f>TRIM('1. Raw Data'!H302)</f>
        <v>Medium</v>
      </c>
      <c r="L302" s="35">
        <f>IFERROR(IF('1. Raw Data'!I302="",AVERAGE(IF('1. Raw Data'!I3:I402&lt;&gt;"",'1. Raw Data'!I3:I402)),VALUE('1. Raw Data'!I302)),0)</f>
        <v>115072.94</v>
      </c>
      <c r="M302" s="36">
        <f>IFERROR(IF('1. Raw Data'!J302="",AVERAGE(IF('1. Raw Data'!J3:J402&lt;&gt;"",'1. Raw Data'!J3:J402)),VALUE('1. Raw Data'!J302)),0)</f>
        <v>12.05</v>
      </c>
      <c r="N302" s="34">
        <f>'1. Raw Data'!K302</f>
        <v>360</v>
      </c>
      <c r="O302" s="35">
        <f t="shared" si="19"/>
        <v>1188.085527535457</v>
      </c>
      <c r="P302" s="34">
        <f>'1. Raw Data'!L302</f>
        <v>67</v>
      </c>
      <c r="Q302" s="33" t="str">
        <f>TRIM('1. Raw Data'!M302)</f>
        <v>Premium</v>
      </c>
    </row>
    <row r="303" spans="1:17" ht="16.5" customHeight="1" x14ac:dyDescent="0.45">
      <c r="A303" s="25" t="str">
        <f>'1. Raw Data'!A303</f>
        <v>TXN-100301</v>
      </c>
      <c r="B303" s="26">
        <f>IFERROR(DATEVALUE('1. Raw Data'!B303),"")</f>
        <v>45400</v>
      </c>
      <c r="C303" s="27" t="str">
        <f t="shared" si="16"/>
        <v>Apr</v>
      </c>
      <c r="D303" s="27" t="str">
        <f t="shared" si="17"/>
        <v>Q2</v>
      </c>
      <c r="E303" s="28">
        <f t="shared" si="18"/>
        <v>2024</v>
      </c>
      <c r="F303" s="25" t="str">
        <f>PROPER(TRIM('1. Raw Data'!C303))</f>
        <v>Downtown</v>
      </c>
      <c r="G303" s="25" t="str">
        <f>TRIM('1. Raw Data'!D303)</f>
        <v>Fixed Deposit</v>
      </c>
      <c r="H303" s="25" t="str">
        <f>TRIM('1. Raw Data'!E303)</f>
        <v>Deposits</v>
      </c>
      <c r="I303" s="25" t="str">
        <f>TRIM('1. Raw Data'!F303)</f>
        <v>Maria Lopez</v>
      </c>
      <c r="J303" s="27" t="str">
        <f>PROPER(TRIM('1. Raw Data'!G303))</f>
        <v>Active</v>
      </c>
      <c r="K303" s="27" t="str">
        <f>TRIM('1. Raw Data'!H303)</f>
        <v>Medium</v>
      </c>
      <c r="L303" s="29">
        <f>IFERROR(IF('1. Raw Data'!I303="",AVERAGE(IF('1. Raw Data'!I3:I402&lt;&gt;"",'1. Raw Data'!I3:I402)),VALUE('1. Raw Data'!I303)),0)</f>
        <v>119730.81</v>
      </c>
      <c r="M303" s="30">
        <f>IFERROR(IF('1. Raw Data'!J303="",AVERAGE(IF('1. Raw Data'!J3:J402&lt;&gt;"",'1. Raw Data'!J3:J402)),VALUE('1. Raw Data'!J303)),0)</f>
        <v>5.31</v>
      </c>
      <c r="N303" s="28">
        <f>'1. Raw Data'!K303</f>
        <v>120</v>
      </c>
      <c r="O303" s="29">
        <f t="shared" si="19"/>
        <v>1288.1506851100648</v>
      </c>
      <c r="P303" s="28">
        <f>'1. Raw Data'!L303</f>
        <v>27</v>
      </c>
      <c r="Q303" s="27" t="str">
        <f>TRIM('1. Raw Data'!M303)</f>
        <v>Premium</v>
      </c>
    </row>
    <row r="304" spans="1:17" ht="16.5" customHeight="1" x14ac:dyDescent="0.45">
      <c r="A304" s="31" t="str">
        <f>'1. Raw Data'!A304</f>
        <v>TXN-100302</v>
      </c>
      <c r="B304" s="32">
        <f>IFERROR(DATEVALUE('1. Raw Data'!B304),"")</f>
        <v>45396</v>
      </c>
      <c r="C304" s="33" t="str">
        <f t="shared" si="16"/>
        <v>Apr</v>
      </c>
      <c r="D304" s="33" t="str">
        <f t="shared" si="17"/>
        <v>Q2</v>
      </c>
      <c r="E304" s="34">
        <f t="shared" si="18"/>
        <v>2024</v>
      </c>
      <c r="F304" s="31" t="str">
        <f>PROPER(TRIM('1. Raw Data'!C304))</f>
        <v>Uptown</v>
      </c>
      <c r="G304" s="31" t="str">
        <f>TRIM('1. Raw Data'!D304)</f>
        <v>Credit Card</v>
      </c>
      <c r="H304" s="31" t="str">
        <f>TRIM('1. Raw Data'!E304)</f>
        <v>Cards</v>
      </c>
      <c r="I304" s="31" t="str">
        <f>TRIM('1. Raw Data'!F304)</f>
        <v>Sarah Chen</v>
      </c>
      <c r="J304" s="33" t="str">
        <f>PROPER(TRIM('1. Raw Data'!G304))</f>
        <v>Pending</v>
      </c>
      <c r="K304" s="33" t="str">
        <f>TRIM('1. Raw Data'!H304)</f>
        <v>Medium</v>
      </c>
      <c r="L304" s="35">
        <f>IFERROR(IF('1. Raw Data'!I304="",AVERAGE(IF('1. Raw Data'!I3:I402&lt;&gt;"",'1. Raw Data'!I3:I402)),VALUE('1. Raw Data'!I304)),0)</f>
        <v>78599.990000000005</v>
      </c>
      <c r="M304" s="36">
        <f>IFERROR(IF('1. Raw Data'!J304="",AVERAGE(IF('1. Raw Data'!J3:J402&lt;&gt;"",'1. Raw Data'!J3:J402)),VALUE('1. Raw Data'!J304)),0)</f>
        <v>6.5</v>
      </c>
      <c r="N304" s="34">
        <f>'1. Raw Data'!K304</f>
        <v>24</v>
      </c>
      <c r="O304" s="35">
        <f t="shared" si="19"/>
        <v>3501.3349172114858</v>
      </c>
      <c r="P304" s="34">
        <f>'1. Raw Data'!L304</f>
        <v>42</v>
      </c>
      <c r="Q304" s="33" t="str">
        <f>TRIM('1. Raw Data'!M304)</f>
        <v>Standard</v>
      </c>
    </row>
    <row r="305" spans="1:17" ht="16.5" customHeight="1" x14ac:dyDescent="0.45">
      <c r="A305" s="25" t="str">
        <f>'1. Raw Data'!A305</f>
        <v>TXN-100303</v>
      </c>
      <c r="B305" s="26">
        <f>IFERROR(DATEVALUE('1. Raw Data'!B305),"")</f>
        <v>45510</v>
      </c>
      <c r="C305" s="27" t="str">
        <f t="shared" si="16"/>
        <v>Aug</v>
      </c>
      <c r="D305" s="27" t="str">
        <f t="shared" si="17"/>
        <v>Q3</v>
      </c>
      <c r="E305" s="28">
        <f t="shared" si="18"/>
        <v>2024</v>
      </c>
      <c r="F305" s="25" t="str">
        <f>PROPER(TRIM('1. Raw Data'!C305))</f>
        <v>Uptown</v>
      </c>
      <c r="G305" s="25" t="str">
        <f>TRIM('1. Raw Data'!D305)</f>
        <v>Fixed Deposit</v>
      </c>
      <c r="H305" s="25" t="str">
        <f>TRIM('1. Raw Data'!E305)</f>
        <v>Deposits</v>
      </c>
      <c r="I305" s="25" t="str">
        <f>TRIM('1. Raw Data'!F305)</f>
        <v>Maria Lopez</v>
      </c>
      <c r="J305" s="27" t="str">
        <f>PROPER(TRIM('1. Raw Data'!G305))</f>
        <v>Inactive</v>
      </c>
      <c r="K305" s="27" t="str">
        <f>TRIM('1. Raw Data'!H305)</f>
        <v>High</v>
      </c>
      <c r="L305" s="29">
        <f>IFERROR(IF('1. Raw Data'!I305="",AVERAGE(IF('1. Raw Data'!I3:I402&lt;&gt;"",'1. Raw Data'!I3:I402)),VALUE('1. Raw Data'!I305)),0)</f>
        <v>228274.42</v>
      </c>
      <c r="M305" s="30">
        <f>IFERROR(IF('1. Raw Data'!J305="",AVERAGE(IF('1. Raw Data'!J3:J402&lt;&gt;"",'1. Raw Data'!J3:J402)),VALUE('1. Raw Data'!J305)),0)</f>
        <v>2.74</v>
      </c>
      <c r="N305" s="28">
        <f>'1. Raw Data'!K305</f>
        <v>12</v>
      </c>
      <c r="O305" s="29">
        <f t="shared" si="19"/>
        <v>19306.379911322812</v>
      </c>
      <c r="P305" s="28">
        <f>'1. Raw Data'!L305</f>
        <v>70</v>
      </c>
      <c r="Q305" s="27" t="str">
        <f>TRIM('1. Raw Data'!M305)</f>
        <v>Premium</v>
      </c>
    </row>
    <row r="306" spans="1:17" ht="16.5" customHeight="1" x14ac:dyDescent="0.45">
      <c r="A306" s="31" t="str">
        <f>'1. Raw Data'!A306</f>
        <v>TXN-100304</v>
      </c>
      <c r="B306" s="32">
        <f>IFERROR(DATEVALUE('1. Raw Data'!B306),"")</f>
        <v>45593</v>
      </c>
      <c r="C306" s="33" t="str">
        <f t="shared" si="16"/>
        <v>Oct</v>
      </c>
      <c r="D306" s="33" t="str">
        <f t="shared" si="17"/>
        <v>Q4</v>
      </c>
      <c r="E306" s="34">
        <f t="shared" si="18"/>
        <v>2024</v>
      </c>
      <c r="F306" s="31" t="str">
        <f>PROPER(TRIM('1. Raw Data'!C306))</f>
        <v>Northpark</v>
      </c>
      <c r="G306" s="31" t="str">
        <f>TRIM('1. Raw Data'!D306)</f>
        <v>Credit Card</v>
      </c>
      <c r="H306" s="31" t="str">
        <f>TRIM('1. Raw Data'!E306)</f>
        <v>Cards</v>
      </c>
      <c r="I306" s="31" t="str">
        <f>TRIM('1. Raw Data'!F306)</f>
        <v>Rachel Moore</v>
      </c>
      <c r="J306" s="33" t="str">
        <f>PROPER(TRIM('1. Raw Data'!G306))</f>
        <v>Active</v>
      </c>
      <c r="K306" s="33" t="str">
        <f>TRIM('1. Raw Data'!H306)</f>
        <v>High</v>
      </c>
      <c r="L306" s="35">
        <f>IFERROR(IF('1. Raw Data'!I306="",AVERAGE(IF('1. Raw Data'!I3:I402&lt;&gt;"",'1. Raw Data'!I3:I402)),VALUE('1. Raw Data'!I306)),0)</f>
        <v>198766.02</v>
      </c>
      <c r="M306" s="36">
        <f>IFERROR(IF('1. Raw Data'!J306="",AVERAGE(IF('1. Raw Data'!J3:J402&lt;&gt;"",'1. Raw Data'!J3:J402)),VALUE('1. Raw Data'!J306)),0)</f>
        <v>6.09</v>
      </c>
      <c r="N306" s="34">
        <f>'1. Raw Data'!K306</f>
        <v>240</v>
      </c>
      <c r="O306" s="35">
        <f t="shared" si="19"/>
        <v>1434.3609752103962</v>
      </c>
      <c r="P306" s="34">
        <f>'1. Raw Data'!L306</f>
        <v>28</v>
      </c>
      <c r="Q306" s="33" t="str">
        <f>TRIM('1. Raw Data'!M306)</f>
        <v>Premium</v>
      </c>
    </row>
    <row r="307" spans="1:17" ht="16.5" customHeight="1" x14ac:dyDescent="0.45">
      <c r="A307" s="25" t="str">
        <f>'1. Raw Data'!A307</f>
        <v>TXN-100305</v>
      </c>
      <c r="B307" s="26">
        <f>IFERROR(DATEVALUE('1. Raw Data'!B307),"")</f>
        <v>45456</v>
      </c>
      <c r="C307" s="27" t="str">
        <f t="shared" si="16"/>
        <v>Jun</v>
      </c>
      <c r="D307" s="27" t="str">
        <f t="shared" si="17"/>
        <v>Q2</v>
      </c>
      <c r="E307" s="28">
        <f t="shared" si="18"/>
        <v>2024</v>
      </c>
      <c r="F307" s="25" t="str">
        <f>PROPER(TRIM('1. Raw Data'!C307))</f>
        <v>Eastgate</v>
      </c>
      <c r="G307" s="25" t="str">
        <f>TRIM('1. Raw Data'!D307)</f>
        <v>Savings Account</v>
      </c>
      <c r="H307" s="25" t="str">
        <f>TRIM('1. Raw Data'!E307)</f>
        <v>Deposits</v>
      </c>
      <c r="I307" s="25" t="str">
        <f>TRIM('1. Raw Data'!F307)</f>
        <v>Rachel Moore</v>
      </c>
      <c r="J307" s="27" t="str">
        <f>PROPER(TRIM('1. Raw Data'!G307))</f>
        <v>Active</v>
      </c>
      <c r="K307" s="27" t="str">
        <f>TRIM('1. Raw Data'!H307)</f>
        <v>Medium</v>
      </c>
      <c r="L307" s="29">
        <f>IFERROR(IF('1. Raw Data'!I307="",AVERAGE(IF('1. Raw Data'!I3:I402&lt;&gt;"",'1. Raw Data'!I3:I402)),VALUE('1. Raw Data'!I307)),0)</f>
        <v>128594.4</v>
      </c>
      <c r="M307" s="30">
        <f>IFERROR(IF('1. Raw Data'!J307="",AVERAGE(IF('1. Raw Data'!J3:J402&lt;&gt;"",'1. Raw Data'!J3:J402)),VALUE('1. Raw Data'!J307)),0)</f>
        <v>7.49</v>
      </c>
      <c r="N307" s="28">
        <f>'1. Raw Data'!K307</f>
        <v>60</v>
      </c>
      <c r="O307" s="29">
        <f t="shared" si="19"/>
        <v>2576.1569435771803</v>
      </c>
      <c r="P307" s="28">
        <f>'1. Raw Data'!L307</f>
        <v>28</v>
      </c>
      <c r="Q307" s="27" t="str">
        <f>TRIM('1. Raw Data'!M307)</f>
        <v>Premium</v>
      </c>
    </row>
    <row r="308" spans="1:17" ht="16.5" customHeight="1" x14ac:dyDescent="0.45">
      <c r="A308" s="31" t="str">
        <f>'1. Raw Data'!A308</f>
        <v>TXN-100306</v>
      </c>
      <c r="B308" s="32">
        <f>IFERROR(DATEVALUE('1. Raw Data'!B308),"")</f>
        <v>45312</v>
      </c>
      <c r="C308" s="33" t="str">
        <f t="shared" si="16"/>
        <v>Jan</v>
      </c>
      <c r="D308" s="33" t="str">
        <f t="shared" si="17"/>
        <v>Q1</v>
      </c>
      <c r="E308" s="34">
        <f t="shared" si="18"/>
        <v>2024</v>
      </c>
      <c r="F308" s="31" t="str">
        <f>PROPER(TRIM('1. Raw Data'!C308))</f>
        <v>Westside</v>
      </c>
      <c r="G308" s="31" t="str">
        <f>TRIM('1. Raw Data'!D308)</f>
        <v>Mortgage</v>
      </c>
      <c r="H308" s="31" t="str">
        <f>TRIM('1. Raw Data'!E308)</f>
        <v>Loans</v>
      </c>
      <c r="I308" s="31" t="str">
        <f>TRIM('1. Raw Data'!F308)</f>
        <v>Rachel Moore</v>
      </c>
      <c r="J308" s="33" t="str">
        <f>PROPER(TRIM('1. Raw Data'!G308))</f>
        <v>Active</v>
      </c>
      <c r="K308" s="33" t="str">
        <f>TRIM('1. Raw Data'!H308)</f>
        <v>High</v>
      </c>
      <c r="L308" s="35">
        <f>IFERROR(IF('1. Raw Data'!I308="",AVERAGE(IF('1. Raw Data'!I3:I402&lt;&gt;"",'1. Raw Data'!I3:I402)),VALUE('1. Raw Data'!I308)),0)</f>
        <v>44618.8</v>
      </c>
      <c r="M308" s="36">
        <f>IFERROR(IF('1. Raw Data'!J308="",AVERAGE(IF('1. Raw Data'!J3:J402&lt;&gt;"",'1. Raw Data'!J3:J402)),VALUE('1. Raw Data'!J308)),0)</f>
        <v>6.62</v>
      </c>
      <c r="N308" s="34">
        <f>'1. Raw Data'!K308</f>
        <v>36</v>
      </c>
      <c r="O308" s="35">
        <f t="shared" si="19"/>
        <v>1369.9600933782567</v>
      </c>
      <c r="P308" s="34">
        <f>'1. Raw Data'!L308</f>
        <v>27</v>
      </c>
      <c r="Q308" s="33" t="str">
        <f>TRIM('1. Raw Data'!M308)</f>
        <v>Standard</v>
      </c>
    </row>
    <row r="309" spans="1:17" ht="16.5" customHeight="1" x14ac:dyDescent="0.45">
      <c r="A309" s="25" t="str">
        <f>'1. Raw Data'!A309</f>
        <v>TXN-100307</v>
      </c>
      <c r="B309" s="26">
        <f>IFERROR(DATEVALUE('1. Raw Data'!B309),"")</f>
        <v>45397</v>
      </c>
      <c r="C309" s="27" t="str">
        <f t="shared" si="16"/>
        <v>Apr</v>
      </c>
      <c r="D309" s="27" t="str">
        <f t="shared" si="17"/>
        <v>Q2</v>
      </c>
      <c r="E309" s="28">
        <f t="shared" si="18"/>
        <v>2024</v>
      </c>
      <c r="F309" s="25" t="str">
        <f>PROPER(TRIM('1. Raw Data'!C309))</f>
        <v>Eastgate</v>
      </c>
      <c r="G309" s="25" t="str">
        <f>TRIM('1. Raw Data'!D309)</f>
        <v>Personal Loan</v>
      </c>
      <c r="H309" s="25" t="str">
        <f>TRIM('1. Raw Data'!E309)</f>
        <v>Loans</v>
      </c>
      <c r="I309" s="25" t="str">
        <f>TRIM('1. Raw Data'!F309)</f>
        <v>James Patel</v>
      </c>
      <c r="J309" s="27" t="str">
        <f>PROPER(TRIM('1. Raw Data'!G309))</f>
        <v>Active</v>
      </c>
      <c r="K309" s="27" t="str">
        <f>TRIM('1. Raw Data'!H309)</f>
        <v>High</v>
      </c>
      <c r="L309" s="29">
        <f>IFERROR(IF('1. Raw Data'!I309="",AVERAGE(IF('1. Raw Data'!I3:I402&lt;&gt;"",'1. Raw Data'!I3:I402)),VALUE('1. Raw Data'!I309)),0)</f>
        <v>68995.839999999997</v>
      </c>
      <c r="M309" s="30">
        <f>IFERROR(IF('1. Raw Data'!J309="",AVERAGE(IF('1. Raw Data'!J3:J402&lt;&gt;"",'1. Raw Data'!J3:J402)),VALUE('1. Raw Data'!J309)),0)</f>
        <v>8.43</v>
      </c>
      <c r="N309" s="28">
        <f>'1. Raw Data'!K309</f>
        <v>60</v>
      </c>
      <c r="O309" s="29">
        <f t="shared" si="19"/>
        <v>1413.2287151790417</v>
      </c>
      <c r="P309" s="28">
        <f>'1. Raw Data'!L309</f>
        <v>25</v>
      </c>
      <c r="Q309" s="27" t="str">
        <f>TRIM('1. Raw Data'!M309)</f>
        <v>Standard</v>
      </c>
    </row>
    <row r="310" spans="1:17" ht="16.5" customHeight="1" x14ac:dyDescent="0.45">
      <c r="A310" s="31" t="str">
        <f>'1. Raw Data'!A310</f>
        <v>TXN-100308</v>
      </c>
      <c r="B310" s="32">
        <f>IFERROR(DATEVALUE('1. Raw Data'!B310),"")</f>
        <v>45370</v>
      </c>
      <c r="C310" s="33" t="str">
        <f t="shared" si="16"/>
        <v>Mar</v>
      </c>
      <c r="D310" s="33" t="str">
        <f t="shared" si="17"/>
        <v>Q1</v>
      </c>
      <c r="E310" s="34">
        <f t="shared" si="18"/>
        <v>2024</v>
      </c>
      <c r="F310" s="31" t="str">
        <f>PROPER(TRIM('1. Raw Data'!C310))</f>
        <v>Westside</v>
      </c>
      <c r="G310" s="31" t="str">
        <f>TRIM('1. Raw Data'!D310)</f>
        <v>Auto Loan</v>
      </c>
      <c r="H310" s="31" t="str">
        <f>TRIM('1. Raw Data'!E310)</f>
        <v>Loans</v>
      </c>
      <c r="I310" s="31" t="str">
        <f>TRIM('1. Raw Data'!F310)</f>
        <v>Sarah Chen</v>
      </c>
      <c r="J310" s="33" t="str">
        <f>PROPER(TRIM('1. Raw Data'!G310))</f>
        <v>Active</v>
      </c>
      <c r="K310" s="33" t="str">
        <f>TRIM('1. Raw Data'!H310)</f>
        <v>Medium</v>
      </c>
      <c r="L310" s="35">
        <f>IFERROR(IF('1. Raw Data'!I310="",AVERAGE(IF('1. Raw Data'!I3:I402&lt;&gt;"",'1. Raw Data'!I3:I402)),VALUE('1. Raw Data'!I310)),0)</f>
        <v>37569.69</v>
      </c>
      <c r="M310" s="36">
        <f>IFERROR(IF('1. Raw Data'!J310="",AVERAGE(IF('1. Raw Data'!J3:J402&lt;&gt;"",'1. Raw Data'!J3:J402)),VALUE('1. Raw Data'!J310)),0)</f>
        <v>3.04</v>
      </c>
      <c r="N310" s="34">
        <f>'1. Raw Data'!K310</f>
        <v>60</v>
      </c>
      <c r="O310" s="35">
        <f t="shared" si="19"/>
        <v>675.74616035814586</v>
      </c>
      <c r="P310" s="34">
        <f>'1. Raw Data'!L310</f>
        <v>64</v>
      </c>
      <c r="Q310" s="33" t="str">
        <f>TRIM('1. Raw Data'!M310)</f>
        <v>Standard</v>
      </c>
    </row>
    <row r="311" spans="1:17" ht="16.5" customHeight="1" x14ac:dyDescent="0.45">
      <c r="A311" s="25" t="str">
        <f>'1. Raw Data'!A311</f>
        <v>TXN-100309</v>
      </c>
      <c r="B311" s="26">
        <f>IFERROR(DATEVALUE('1. Raw Data'!B311),"")</f>
        <v>45519</v>
      </c>
      <c r="C311" s="27" t="str">
        <f t="shared" si="16"/>
        <v>Aug</v>
      </c>
      <c r="D311" s="27" t="str">
        <f t="shared" si="17"/>
        <v>Q3</v>
      </c>
      <c r="E311" s="28">
        <f t="shared" si="18"/>
        <v>2024</v>
      </c>
      <c r="F311" s="25" t="str">
        <f>PROPER(TRIM('1. Raw Data'!C311))</f>
        <v>Westside</v>
      </c>
      <c r="G311" s="25" t="str">
        <f>TRIM('1. Raw Data'!D311)</f>
        <v>Personal Loan</v>
      </c>
      <c r="H311" s="25" t="str">
        <f>TRIM('1. Raw Data'!E311)</f>
        <v>Loans</v>
      </c>
      <c r="I311" s="25" t="str">
        <f>TRIM('1. Raw Data'!F311)</f>
        <v>Rachel Moore</v>
      </c>
      <c r="J311" s="27" t="str">
        <f>PROPER(TRIM('1. Raw Data'!G311))</f>
        <v>Inactive</v>
      </c>
      <c r="K311" s="27" t="str">
        <f>TRIM('1. Raw Data'!H311)</f>
        <v>Medium</v>
      </c>
      <c r="L311" s="29">
        <f>IFERROR(IF('1. Raw Data'!I311="",AVERAGE(IF('1. Raw Data'!I3:I402&lt;&gt;"",'1. Raw Data'!I3:I402)),VALUE('1. Raw Data'!I311)),0)</f>
        <v>118199.41</v>
      </c>
      <c r="M311" s="30">
        <f>IFERROR(IF('1. Raw Data'!J311="",AVERAGE(IF('1. Raw Data'!J3:J402&lt;&gt;"",'1. Raw Data'!J3:J402)),VALUE('1. Raw Data'!J311)),0)</f>
        <v>6.38</v>
      </c>
      <c r="N311" s="28">
        <f>'1. Raw Data'!K311</f>
        <v>36</v>
      </c>
      <c r="O311" s="29">
        <f t="shared" si="19"/>
        <v>3616.2416040759958</v>
      </c>
      <c r="P311" s="28">
        <f>'1. Raw Data'!L311</f>
        <v>52</v>
      </c>
      <c r="Q311" s="27" t="str">
        <f>TRIM('1. Raw Data'!M311)</f>
        <v>Premium</v>
      </c>
    </row>
    <row r="312" spans="1:17" ht="16.5" customHeight="1" x14ac:dyDescent="0.45">
      <c r="A312" s="31" t="str">
        <f>'1. Raw Data'!A312</f>
        <v>TXN-100310</v>
      </c>
      <c r="B312" s="32">
        <f>IFERROR(DATEVALUE('1. Raw Data'!B312),"")</f>
        <v>45424</v>
      </c>
      <c r="C312" s="33" t="str">
        <f t="shared" si="16"/>
        <v>May</v>
      </c>
      <c r="D312" s="33" t="str">
        <f t="shared" si="17"/>
        <v>Q2</v>
      </c>
      <c r="E312" s="34">
        <f t="shared" si="18"/>
        <v>2024</v>
      </c>
      <c r="F312" s="31" t="str">
        <f>PROPER(TRIM('1. Raw Data'!C312))</f>
        <v>Eastgate</v>
      </c>
      <c r="G312" s="31" t="str">
        <f>TRIM('1. Raw Data'!D312)</f>
        <v>Savings Account</v>
      </c>
      <c r="H312" s="31" t="str">
        <f>TRIM('1. Raw Data'!E312)</f>
        <v>Deposits</v>
      </c>
      <c r="I312" s="31" t="str">
        <f>TRIM('1. Raw Data'!F312)</f>
        <v>David Kim</v>
      </c>
      <c r="J312" s="33" t="str">
        <f>PROPER(TRIM('1. Raw Data'!G312))</f>
        <v>Pending</v>
      </c>
      <c r="K312" s="33" t="str">
        <f>TRIM('1. Raw Data'!H312)</f>
        <v>High</v>
      </c>
      <c r="L312" s="35">
        <f>IFERROR(IF('1. Raw Data'!I312="",AVERAGE(IF('1. Raw Data'!I3:I402&lt;&gt;"",'1. Raw Data'!I3:I402)),VALUE('1. Raw Data'!I312)),0)</f>
        <v>5634.34</v>
      </c>
      <c r="M312" s="36">
        <f>IFERROR(IF('1. Raw Data'!J312="",AVERAGE(IF('1. Raw Data'!J3:J402&lt;&gt;"",'1. Raw Data'!J3:J402)),VALUE('1. Raw Data'!J312)),0)</f>
        <v>12.34</v>
      </c>
      <c r="N312" s="34">
        <f>'1. Raw Data'!K312</f>
        <v>12</v>
      </c>
      <c r="O312" s="35">
        <f t="shared" si="19"/>
        <v>501.50089596513317</v>
      </c>
      <c r="P312" s="34">
        <f>'1. Raw Data'!L312</f>
        <v>59</v>
      </c>
      <c r="Q312" s="33" t="str">
        <f>TRIM('1. Raw Data'!M312)</f>
        <v>Basic</v>
      </c>
    </row>
    <row r="313" spans="1:17" ht="16.5" customHeight="1" x14ac:dyDescent="0.45">
      <c r="A313" s="25" t="str">
        <f>'1. Raw Data'!A313</f>
        <v>TXN-100311</v>
      </c>
      <c r="B313" s="26">
        <f>IFERROR(DATEVALUE('1. Raw Data'!B313),"")</f>
        <v>45518</v>
      </c>
      <c r="C313" s="27" t="str">
        <f t="shared" si="16"/>
        <v>Aug</v>
      </c>
      <c r="D313" s="27" t="str">
        <f t="shared" si="17"/>
        <v>Q3</v>
      </c>
      <c r="E313" s="28">
        <f t="shared" si="18"/>
        <v>2024</v>
      </c>
      <c r="F313" s="25" t="str">
        <f>PROPER(TRIM('1. Raw Data'!C313))</f>
        <v>Westside</v>
      </c>
      <c r="G313" s="25" t="str">
        <f>TRIM('1. Raw Data'!D313)</f>
        <v>Savings Account</v>
      </c>
      <c r="H313" s="25" t="str">
        <f>TRIM('1. Raw Data'!E313)</f>
        <v>Deposits</v>
      </c>
      <c r="I313" s="25" t="str">
        <f>TRIM('1. Raw Data'!F313)</f>
        <v>James Patel</v>
      </c>
      <c r="J313" s="27" t="str">
        <f>PROPER(TRIM('1. Raw Data'!G313))</f>
        <v>Active</v>
      </c>
      <c r="K313" s="27" t="str">
        <f>TRIM('1. Raw Data'!H313)</f>
        <v>Low</v>
      </c>
      <c r="L313" s="29">
        <f>IFERROR(IF('1. Raw Data'!I313="",AVERAGE(IF('1. Raw Data'!I3:I402&lt;&gt;"",'1. Raw Data'!I3:I402)),VALUE('1. Raw Data'!I313)),0)</f>
        <v>86595.38</v>
      </c>
      <c r="M313" s="30">
        <f>IFERROR(IF('1. Raw Data'!J313="",AVERAGE(IF('1. Raw Data'!J3:J402&lt;&gt;"",'1. Raw Data'!J3:J402)),VALUE('1. Raw Data'!J313)),0)</f>
        <v>5.84</v>
      </c>
      <c r="N313" s="28">
        <f>'1. Raw Data'!K313</f>
        <v>48</v>
      </c>
      <c r="O313" s="29">
        <f t="shared" si="19"/>
        <v>2027.3487521004206</v>
      </c>
      <c r="P313" s="28">
        <f>'1. Raw Data'!L313</f>
        <v>64</v>
      </c>
      <c r="Q313" s="27" t="str">
        <f>TRIM('1. Raw Data'!M313)</f>
        <v>Standard</v>
      </c>
    </row>
    <row r="314" spans="1:17" ht="16.5" customHeight="1" x14ac:dyDescent="0.45">
      <c r="A314" s="31" t="str">
        <f>'1. Raw Data'!A314</f>
        <v>TXN-100312</v>
      </c>
      <c r="B314" s="32">
        <f>IFERROR(DATEVALUE('1. Raw Data'!B314),"")</f>
        <v>45538</v>
      </c>
      <c r="C314" s="33" t="str">
        <f t="shared" si="16"/>
        <v>Sep</v>
      </c>
      <c r="D314" s="33" t="str">
        <f t="shared" si="17"/>
        <v>Q3</v>
      </c>
      <c r="E314" s="34">
        <f t="shared" si="18"/>
        <v>2024</v>
      </c>
      <c r="F314" s="31" t="str">
        <f>PROPER(TRIM('1. Raw Data'!C314))</f>
        <v>Westside</v>
      </c>
      <c r="G314" s="31" t="str">
        <f>TRIM('1. Raw Data'!D314)</f>
        <v>Mortgage</v>
      </c>
      <c r="H314" s="31" t="str">
        <f>TRIM('1. Raw Data'!E314)</f>
        <v>Loans</v>
      </c>
      <c r="I314" s="31" t="str">
        <f>TRIM('1. Raw Data'!F314)</f>
        <v>David Kim</v>
      </c>
      <c r="J314" s="33" t="str">
        <f>PROPER(TRIM('1. Raw Data'!G314))</f>
        <v>Pending</v>
      </c>
      <c r="K314" s="33" t="str">
        <f>TRIM('1. Raw Data'!H314)</f>
        <v>High</v>
      </c>
      <c r="L314" s="35">
        <f>IFERROR(IF('1. Raw Data'!I314="",AVERAGE(IF('1. Raw Data'!I3:I402&lt;&gt;"",'1. Raw Data'!I3:I402)),VALUE('1. Raw Data'!I314)),0)</f>
        <v>180819.88</v>
      </c>
      <c r="M314" s="36">
        <f>IFERROR(IF('1. Raw Data'!J314="",AVERAGE(IF('1. Raw Data'!J3:J402&lt;&gt;"",'1. Raw Data'!J3:J402)),VALUE('1. Raw Data'!J314)),0)</f>
        <v>11.39</v>
      </c>
      <c r="N314" s="34">
        <f>'1. Raw Data'!K314</f>
        <v>36</v>
      </c>
      <c r="O314" s="35">
        <f t="shared" si="19"/>
        <v>5953.2623254270229</v>
      </c>
      <c r="P314" s="34">
        <f>'1. Raw Data'!L314</f>
        <v>41</v>
      </c>
      <c r="Q314" s="33" t="str">
        <f>TRIM('1. Raw Data'!M314)</f>
        <v>Premium</v>
      </c>
    </row>
    <row r="315" spans="1:17" ht="16.5" customHeight="1" x14ac:dyDescent="0.45">
      <c r="A315" s="25" t="str">
        <f>'1. Raw Data'!A315</f>
        <v>TXN-100313</v>
      </c>
      <c r="B315" s="26">
        <f>IFERROR(DATEVALUE('1. Raw Data'!B315),"")</f>
        <v>45459</v>
      </c>
      <c r="C315" s="27" t="str">
        <f t="shared" si="16"/>
        <v>Jun</v>
      </c>
      <c r="D315" s="27" t="str">
        <f t="shared" si="17"/>
        <v>Q2</v>
      </c>
      <c r="E315" s="28">
        <f t="shared" si="18"/>
        <v>2024</v>
      </c>
      <c r="F315" s="25" t="str">
        <f>PROPER(TRIM('1. Raw Data'!C315))</f>
        <v>Westside</v>
      </c>
      <c r="G315" s="25" t="str">
        <f>TRIM('1. Raw Data'!D315)</f>
        <v>Checking Account</v>
      </c>
      <c r="H315" s="25" t="str">
        <f>TRIM('1. Raw Data'!E315)</f>
        <v>Deposits</v>
      </c>
      <c r="I315" s="25" t="str">
        <f>TRIM('1. Raw Data'!F315)</f>
        <v>Sarah Chen</v>
      </c>
      <c r="J315" s="27" t="str">
        <f>PROPER(TRIM('1. Raw Data'!G315))</f>
        <v>Active</v>
      </c>
      <c r="K315" s="27" t="str">
        <f>TRIM('1. Raw Data'!H315)</f>
        <v>High</v>
      </c>
      <c r="L315" s="29">
        <f>IFERROR(IF('1. Raw Data'!I315="",AVERAGE(IF('1. Raw Data'!I3:I402&lt;&gt;"",'1. Raw Data'!I3:I402)),VALUE('1. Raw Data'!I315)),0)</f>
        <v>94873.01</v>
      </c>
      <c r="M315" s="30">
        <f>IFERROR(IF('1. Raw Data'!J315="",AVERAGE(IF('1. Raw Data'!J3:J402&lt;&gt;"",'1. Raw Data'!J3:J402)),VALUE('1. Raw Data'!J315)),0)</f>
        <v>11.3</v>
      </c>
      <c r="N315" s="28">
        <f>'1. Raw Data'!K315</f>
        <v>48</v>
      </c>
      <c r="O315" s="29">
        <f t="shared" si="19"/>
        <v>2465.8874163200308</v>
      </c>
      <c r="P315" s="28">
        <f>'1. Raw Data'!L315</f>
        <v>36</v>
      </c>
      <c r="Q315" s="27" t="str">
        <f>TRIM('1. Raw Data'!M315)</f>
        <v>Standard</v>
      </c>
    </row>
    <row r="316" spans="1:17" ht="16.5" customHeight="1" x14ac:dyDescent="0.45">
      <c r="A316" s="31" t="str">
        <f>'1. Raw Data'!A316</f>
        <v>TXN-100314</v>
      </c>
      <c r="B316" s="32">
        <f>IFERROR(DATEVALUE('1. Raw Data'!B316),"")</f>
        <v>45487</v>
      </c>
      <c r="C316" s="33" t="str">
        <f t="shared" si="16"/>
        <v>Jul</v>
      </c>
      <c r="D316" s="33" t="str">
        <f t="shared" si="17"/>
        <v>Q3</v>
      </c>
      <c r="E316" s="34">
        <f t="shared" si="18"/>
        <v>2024</v>
      </c>
      <c r="F316" s="31" t="str">
        <f>PROPER(TRIM('1. Raw Data'!C316))</f>
        <v>Eastgate</v>
      </c>
      <c r="G316" s="31" t="str">
        <f>TRIM('1. Raw Data'!D316)</f>
        <v>Fixed Deposit</v>
      </c>
      <c r="H316" s="31" t="str">
        <f>TRIM('1. Raw Data'!E316)</f>
        <v>Deposits</v>
      </c>
      <c r="I316" s="31" t="str">
        <f>TRIM('1. Raw Data'!F316)</f>
        <v>James Patel</v>
      </c>
      <c r="J316" s="33" t="str">
        <f>PROPER(TRIM('1. Raw Data'!G316))</f>
        <v>Active</v>
      </c>
      <c r="K316" s="33" t="str">
        <f>TRIM('1. Raw Data'!H316)</f>
        <v>High</v>
      </c>
      <c r="L316" s="35">
        <f>IFERROR(IF('1. Raw Data'!I316="",AVERAGE(IF('1. Raw Data'!I3:I402&lt;&gt;"",'1. Raw Data'!I3:I402)),VALUE('1. Raw Data'!I316)),0)</f>
        <v>62551.63</v>
      </c>
      <c r="M316" s="36">
        <f>IFERROR(IF('1. Raw Data'!J316="",AVERAGE(IF('1. Raw Data'!J3:J402&lt;&gt;"",'1. Raw Data'!J3:J402)),VALUE('1. Raw Data'!J316)),0)</f>
        <v>4.83</v>
      </c>
      <c r="N316" s="34">
        <f>'1. Raw Data'!K316</f>
        <v>60</v>
      </c>
      <c r="O316" s="35">
        <f t="shared" si="19"/>
        <v>1175.5608221796388</v>
      </c>
      <c r="P316" s="34">
        <f>'1. Raw Data'!L316</f>
        <v>74</v>
      </c>
      <c r="Q316" s="33" t="str">
        <f>TRIM('1. Raw Data'!M316)</f>
        <v>Standard</v>
      </c>
    </row>
    <row r="317" spans="1:17" ht="16.5" customHeight="1" x14ac:dyDescent="0.45">
      <c r="A317" s="25" t="str">
        <f>'1. Raw Data'!A317</f>
        <v>TXN-100315</v>
      </c>
      <c r="B317" s="26">
        <f>IFERROR(DATEVALUE('1. Raw Data'!B317),"")</f>
        <v>45313</v>
      </c>
      <c r="C317" s="27" t="str">
        <f t="shared" si="16"/>
        <v>Jan</v>
      </c>
      <c r="D317" s="27" t="str">
        <f t="shared" si="17"/>
        <v>Q1</v>
      </c>
      <c r="E317" s="28">
        <f t="shared" si="18"/>
        <v>2024</v>
      </c>
      <c r="F317" s="25" t="str">
        <f>PROPER(TRIM('1. Raw Data'!C317))</f>
        <v>Westside</v>
      </c>
      <c r="G317" s="25" t="str">
        <f>TRIM('1. Raw Data'!D317)</f>
        <v>Mortgage</v>
      </c>
      <c r="H317" s="25" t="str">
        <f>TRIM('1. Raw Data'!E317)</f>
        <v>Loans</v>
      </c>
      <c r="I317" s="25" t="str">
        <f>TRIM('1. Raw Data'!F317)</f>
        <v>Maria Lopez</v>
      </c>
      <c r="J317" s="27" t="str">
        <f>PROPER(TRIM('1. Raw Data'!G317))</f>
        <v>Active</v>
      </c>
      <c r="K317" s="27" t="str">
        <f>TRIM('1. Raw Data'!H317)</f>
        <v>High</v>
      </c>
      <c r="L317" s="29">
        <f>IFERROR(IF('1. Raw Data'!I317="",AVERAGE(IF('1. Raw Data'!I3:I402&lt;&gt;"",'1. Raw Data'!I3:I402)),VALUE('1. Raw Data'!I317)),0)</f>
        <v>109189.96</v>
      </c>
      <c r="M317" s="30">
        <f>IFERROR(IF('1. Raw Data'!J317="",AVERAGE(IF('1. Raw Data'!J3:J402&lt;&gt;"",'1. Raw Data'!J3:J402)),VALUE('1. Raw Data'!J317)),0)</f>
        <v>13.12</v>
      </c>
      <c r="N317" s="28">
        <f>'1. Raw Data'!K317</f>
        <v>48</v>
      </c>
      <c r="O317" s="29">
        <f t="shared" si="19"/>
        <v>2935.8006332226018</v>
      </c>
      <c r="P317" s="28">
        <f>'1. Raw Data'!L317</f>
        <v>72</v>
      </c>
      <c r="Q317" s="27" t="str">
        <f>TRIM('1. Raw Data'!M317)</f>
        <v>Premium</v>
      </c>
    </row>
    <row r="318" spans="1:17" ht="16.5" customHeight="1" x14ac:dyDescent="0.45">
      <c r="A318" s="31" t="str">
        <f>'1. Raw Data'!A318</f>
        <v>TXN-100316</v>
      </c>
      <c r="B318" s="32">
        <f>IFERROR(DATEVALUE('1. Raw Data'!B318),"")</f>
        <v>45524</v>
      </c>
      <c r="C318" s="33" t="str">
        <f t="shared" si="16"/>
        <v>Aug</v>
      </c>
      <c r="D318" s="33" t="str">
        <f t="shared" si="17"/>
        <v>Q3</v>
      </c>
      <c r="E318" s="34">
        <f t="shared" si="18"/>
        <v>2024</v>
      </c>
      <c r="F318" s="31" t="str">
        <f>PROPER(TRIM('1. Raw Data'!C318))</f>
        <v>Northpark</v>
      </c>
      <c r="G318" s="31" t="str">
        <f>TRIM('1. Raw Data'!D318)</f>
        <v>Checking Account</v>
      </c>
      <c r="H318" s="31" t="str">
        <f>TRIM('1. Raw Data'!E318)</f>
        <v>Deposits</v>
      </c>
      <c r="I318" s="31" t="str">
        <f>TRIM('1. Raw Data'!F318)</f>
        <v>Maria Lopez</v>
      </c>
      <c r="J318" s="33" t="str">
        <f>PROPER(TRIM('1. Raw Data'!G318))</f>
        <v>Active</v>
      </c>
      <c r="K318" s="33" t="str">
        <f>TRIM('1. Raw Data'!H318)</f>
        <v>Medium</v>
      </c>
      <c r="L318" s="35">
        <f>IFERROR(IF('1. Raw Data'!I318="",AVERAGE(IF('1. Raw Data'!I3:I402&lt;&gt;"",'1. Raw Data'!I3:I402)),VALUE('1. Raw Data'!I318)),0)</f>
        <v>242808.05</v>
      </c>
      <c r="M318" s="36">
        <f>IFERROR(IF('1. Raw Data'!J318="",AVERAGE(IF('1. Raw Data'!J3:J402&lt;&gt;"",'1. Raw Data'!J3:J402)),VALUE('1. Raw Data'!J318)),0)</f>
        <v>2.65</v>
      </c>
      <c r="N318" s="34">
        <f>'1. Raw Data'!K318</f>
        <v>24</v>
      </c>
      <c r="O318" s="35">
        <f t="shared" si="19"/>
        <v>10398.634888050497</v>
      </c>
      <c r="P318" s="34">
        <f>'1. Raw Data'!L318</f>
        <v>65</v>
      </c>
      <c r="Q318" s="33" t="str">
        <f>TRIM('1. Raw Data'!M318)</f>
        <v>Premium</v>
      </c>
    </row>
    <row r="319" spans="1:17" ht="16.5" customHeight="1" x14ac:dyDescent="0.45">
      <c r="A319" s="25" t="str">
        <f>'1. Raw Data'!A319</f>
        <v>TXN-100317</v>
      </c>
      <c r="B319" s="26">
        <f>IFERROR(DATEVALUE('1. Raw Data'!B319),"")</f>
        <v>45543</v>
      </c>
      <c r="C319" s="27" t="str">
        <f t="shared" si="16"/>
        <v>Sep</v>
      </c>
      <c r="D319" s="27" t="str">
        <f t="shared" si="17"/>
        <v>Q3</v>
      </c>
      <c r="E319" s="28">
        <f t="shared" si="18"/>
        <v>2024</v>
      </c>
      <c r="F319" s="25" t="str">
        <f>PROPER(TRIM('1. Raw Data'!C319))</f>
        <v>Downtown</v>
      </c>
      <c r="G319" s="25" t="str">
        <f>TRIM('1. Raw Data'!D319)</f>
        <v>Fixed Deposit</v>
      </c>
      <c r="H319" s="25" t="str">
        <f>TRIM('1. Raw Data'!E319)</f>
        <v>Deposits</v>
      </c>
      <c r="I319" s="25" t="str">
        <f>TRIM('1. Raw Data'!F319)</f>
        <v>Sarah Chen</v>
      </c>
      <c r="J319" s="27" t="str">
        <f>PROPER(TRIM('1. Raw Data'!G319))</f>
        <v>Pending</v>
      </c>
      <c r="K319" s="27" t="str">
        <f>TRIM('1. Raw Data'!H319)</f>
        <v>Medium</v>
      </c>
      <c r="L319" s="29">
        <f>IFERROR(IF('1. Raw Data'!I319="",AVERAGE(IF('1. Raw Data'!I3:I402&lt;&gt;"",'1. Raw Data'!I3:I402)),VALUE('1. Raw Data'!I319)),0)</f>
        <v>16841.82</v>
      </c>
      <c r="M319" s="30">
        <f>IFERROR(IF('1. Raw Data'!J319="",AVERAGE(IF('1. Raw Data'!J3:J402&lt;&gt;"",'1. Raw Data'!J3:J402)),VALUE('1. Raw Data'!J319)),0)</f>
        <v>10.08</v>
      </c>
      <c r="N319" s="28">
        <f>'1. Raw Data'!K319</f>
        <v>24</v>
      </c>
      <c r="O319" s="29">
        <f t="shared" si="19"/>
        <v>777.78655614831223</v>
      </c>
      <c r="P319" s="28">
        <f>'1. Raw Data'!L319</f>
        <v>63</v>
      </c>
      <c r="Q319" s="27" t="str">
        <f>TRIM('1. Raw Data'!M319)</f>
        <v>Basic</v>
      </c>
    </row>
    <row r="320" spans="1:17" ht="16.5" customHeight="1" x14ac:dyDescent="0.45">
      <c r="A320" s="31" t="str">
        <f>'1. Raw Data'!A320</f>
        <v>TXN-100318</v>
      </c>
      <c r="B320" s="32">
        <f>IFERROR(DATEVALUE('1. Raw Data'!B320),"")</f>
        <v>45356</v>
      </c>
      <c r="C320" s="33" t="str">
        <f t="shared" si="16"/>
        <v>Mar</v>
      </c>
      <c r="D320" s="33" t="str">
        <f t="shared" si="17"/>
        <v>Q1</v>
      </c>
      <c r="E320" s="34">
        <f t="shared" si="18"/>
        <v>2024</v>
      </c>
      <c r="F320" s="31" t="str">
        <f>PROPER(TRIM('1. Raw Data'!C320))</f>
        <v>Northpark</v>
      </c>
      <c r="G320" s="31" t="str">
        <f>TRIM('1. Raw Data'!D320)</f>
        <v>Savings Account</v>
      </c>
      <c r="H320" s="31" t="str">
        <f>TRIM('1. Raw Data'!E320)</f>
        <v>Deposits</v>
      </c>
      <c r="I320" s="31" t="str">
        <f>TRIM('1. Raw Data'!F320)</f>
        <v>Maria Lopez</v>
      </c>
      <c r="J320" s="33" t="str">
        <f>PROPER(TRIM('1. Raw Data'!G320))</f>
        <v>Active</v>
      </c>
      <c r="K320" s="33" t="str">
        <f>TRIM('1. Raw Data'!H320)</f>
        <v>Medium</v>
      </c>
      <c r="L320" s="35">
        <f>IFERROR(IF('1. Raw Data'!I320="",AVERAGE(IF('1. Raw Data'!I3:I402&lt;&gt;"",'1. Raw Data'!I3:I402)),VALUE('1. Raw Data'!I320)),0)</f>
        <v>105387.79</v>
      </c>
      <c r="M320" s="36">
        <f>IFERROR(IF('1. Raw Data'!J320="",AVERAGE(IF('1. Raw Data'!J3:J402&lt;&gt;"",'1. Raw Data'!J3:J402)),VALUE('1. Raw Data'!J320)),0)</f>
        <v>6.92</v>
      </c>
      <c r="N320" s="34">
        <f>'1. Raw Data'!K320</f>
        <v>24</v>
      </c>
      <c r="O320" s="35">
        <f t="shared" si="19"/>
        <v>4714.6619574923561</v>
      </c>
      <c r="P320" s="34">
        <f>'1. Raw Data'!L320</f>
        <v>39</v>
      </c>
      <c r="Q320" s="33" t="str">
        <f>TRIM('1. Raw Data'!M320)</f>
        <v>Premium</v>
      </c>
    </row>
    <row r="321" spans="1:17" ht="16.5" customHeight="1" x14ac:dyDescent="0.45">
      <c r="A321" s="25" t="str">
        <f>'1. Raw Data'!A321</f>
        <v>TXN-100319</v>
      </c>
      <c r="B321" s="26">
        <f>IFERROR(DATEVALUE('1. Raw Data'!B321),"")</f>
        <v>45401</v>
      </c>
      <c r="C321" s="27" t="str">
        <f t="shared" si="16"/>
        <v>Apr</v>
      </c>
      <c r="D321" s="27" t="str">
        <f t="shared" si="17"/>
        <v>Q2</v>
      </c>
      <c r="E321" s="28">
        <f t="shared" si="18"/>
        <v>2024</v>
      </c>
      <c r="F321" s="25" t="str">
        <f>PROPER(TRIM('1. Raw Data'!C321))</f>
        <v>Eastgate</v>
      </c>
      <c r="G321" s="25" t="str">
        <f>TRIM('1. Raw Data'!D321)</f>
        <v>Savings Account</v>
      </c>
      <c r="H321" s="25" t="str">
        <f>TRIM('1. Raw Data'!E321)</f>
        <v>Deposits</v>
      </c>
      <c r="I321" s="25" t="str">
        <f>TRIM('1. Raw Data'!F321)</f>
        <v>Sarah Chen</v>
      </c>
      <c r="J321" s="27" t="str">
        <f>PROPER(TRIM('1. Raw Data'!G321))</f>
        <v>Inactive</v>
      </c>
      <c r="K321" s="27" t="str">
        <f>TRIM('1. Raw Data'!H321)</f>
        <v>Low</v>
      </c>
      <c r="L321" s="29">
        <f>IFERROR(IF('1. Raw Data'!I321="",AVERAGE(IF('1. Raw Data'!I3:I402&lt;&gt;"",'1. Raw Data'!I3:I402)),VALUE('1. Raw Data'!I321)),0)</f>
        <v>36461.39</v>
      </c>
      <c r="M321" s="30">
        <f>IFERROR(IF('1. Raw Data'!J321="",AVERAGE(IF('1. Raw Data'!J3:J402&lt;&gt;"",'1. Raw Data'!J3:J402)),VALUE('1. Raw Data'!J321)),0)</f>
        <v>10.65</v>
      </c>
      <c r="N321" s="28">
        <f>'1. Raw Data'!K321</f>
        <v>36</v>
      </c>
      <c r="O321" s="29">
        <f t="shared" si="19"/>
        <v>1187.6648358130165</v>
      </c>
      <c r="P321" s="28">
        <f>'1. Raw Data'!L321</f>
        <v>28</v>
      </c>
      <c r="Q321" s="27" t="str">
        <f>TRIM('1. Raw Data'!M321)</f>
        <v>Standard</v>
      </c>
    </row>
    <row r="322" spans="1:17" ht="16.5" customHeight="1" x14ac:dyDescent="0.45">
      <c r="A322" s="31" t="str">
        <f>'1. Raw Data'!A322</f>
        <v>TXN-100320</v>
      </c>
      <c r="B322" s="32">
        <f>IFERROR(DATEVALUE('1. Raw Data'!B322),"")</f>
        <v>45560</v>
      </c>
      <c r="C322" s="33" t="str">
        <f t="shared" si="16"/>
        <v>Sep</v>
      </c>
      <c r="D322" s="33" t="str">
        <f t="shared" si="17"/>
        <v>Q3</v>
      </c>
      <c r="E322" s="34">
        <f t="shared" si="18"/>
        <v>2024</v>
      </c>
      <c r="F322" s="31" t="str">
        <f>PROPER(TRIM('1. Raw Data'!C322))</f>
        <v>Westside</v>
      </c>
      <c r="G322" s="31" t="str">
        <f>TRIM('1. Raw Data'!D322)</f>
        <v>Savings Account</v>
      </c>
      <c r="H322" s="31" t="str">
        <f>TRIM('1. Raw Data'!E322)</f>
        <v>Deposits</v>
      </c>
      <c r="I322" s="31" t="str">
        <f>TRIM('1. Raw Data'!F322)</f>
        <v>Sarah Chen</v>
      </c>
      <c r="J322" s="33" t="str">
        <f>PROPER(TRIM('1. Raw Data'!G322))</f>
        <v>Active</v>
      </c>
      <c r="K322" s="33" t="str">
        <f>TRIM('1. Raw Data'!H322)</f>
        <v>Low</v>
      </c>
      <c r="L322" s="35">
        <f>IFERROR(IF('1. Raw Data'!I322="",AVERAGE(IF('1. Raw Data'!I3:I402&lt;&gt;"",'1. Raw Data'!I3:I402)),VALUE('1. Raw Data'!I322)),0)</f>
        <v>216979.82</v>
      </c>
      <c r="M322" s="36">
        <f>IFERROR(IF('1. Raw Data'!J322="",AVERAGE(IF('1. Raw Data'!J3:J402&lt;&gt;"",'1. Raw Data'!J3:J402)),VALUE('1. Raw Data'!J322)),0)</f>
        <v>5.03</v>
      </c>
      <c r="N322" s="34">
        <f>'1. Raw Data'!K322</f>
        <v>6</v>
      </c>
      <c r="O322" s="35">
        <f t="shared" si="19"/>
        <v>36695.698462073509</v>
      </c>
      <c r="P322" s="34">
        <f>'1. Raw Data'!L322</f>
        <v>48</v>
      </c>
      <c r="Q322" s="33" t="str">
        <f>TRIM('1. Raw Data'!M322)</f>
        <v>Premium</v>
      </c>
    </row>
    <row r="323" spans="1:17" ht="16.5" customHeight="1" x14ac:dyDescent="0.45">
      <c r="A323" s="25" t="str">
        <f>'1. Raw Data'!A323</f>
        <v>TXN-100321</v>
      </c>
      <c r="B323" s="26">
        <f>IFERROR(DATEVALUE('1. Raw Data'!B323),"")</f>
        <v>45523</v>
      </c>
      <c r="C323" s="27" t="str">
        <f t="shared" ref="C323:C386" si="20">IFERROR(TEXT(B323,"mmm"),"")</f>
        <v>Aug</v>
      </c>
      <c r="D323" s="27" t="str">
        <f t="shared" ref="D323:D386" si="21">IFERROR("Q"&amp;INT((MONTH(B323)-1)/3+1),"")</f>
        <v>Q3</v>
      </c>
      <c r="E323" s="28">
        <f t="shared" ref="E323:E386" si="22">IFERROR(YEAR(B323),"")</f>
        <v>2024</v>
      </c>
      <c r="F323" s="25" t="str">
        <f>PROPER(TRIM('1. Raw Data'!C323))</f>
        <v>Northpark</v>
      </c>
      <c r="G323" s="25" t="str">
        <f>TRIM('1. Raw Data'!D323)</f>
        <v>Credit Card</v>
      </c>
      <c r="H323" s="25" t="str">
        <f>TRIM('1. Raw Data'!E323)</f>
        <v>Cards</v>
      </c>
      <c r="I323" s="25" t="str">
        <f>TRIM('1. Raw Data'!F323)</f>
        <v>Rachel Moore</v>
      </c>
      <c r="J323" s="27" t="str">
        <f>PROPER(TRIM('1. Raw Data'!G323))</f>
        <v>Active</v>
      </c>
      <c r="K323" s="27" t="str">
        <f>TRIM('1. Raw Data'!H323)</f>
        <v>Medium</v>
      </c>
      <c r="L323" s="29">
        <f>IFERROR(IF('1. Raw Data'!I323="",AVERAGE(IF('1. Raw Data'!I3:I402&lt;&gt;"",'1. Raw Data'!I3:I402)),VALUE('1. Raw Data'!I323)),0)</f>
        <v>75475.179999999993</v>
      </c>
      <c r="M323" s="30">
        <f>IFERROR(IF('1. Raw Data'!J323="",AVERAGE(IF('1. Raw Data'!J3:J402&lt;&gt;"",'1. Raw Data'!J3:J402)),VALUE('1. Raw Data'!J323)),0)</f>
        <v>8.6300000000000008</v>
      </c>
      <c r="N323" s="28">
        <f>'1. Raw Data'!K323</f>
        <v>180</v>
      </c>
      <c r="O323" s="29">
        <f t="shared" ref="O323:O386" si="23">IFERROR(IF(M323=0,0,(L323*(M323/100/12))/(1-(1+M323/100/12)^(-N323))),0)</f>
        <v>748.99654404028024</v>
      </c>
      <c r="P323" s="28">
        <f>'1. Raw Data'!L323</f>
        <v>51</v>
      </c>
      <c r="Q323" s="27" t="str">
        <f>TRIM('1. Raw Data'!M323)</f>
        <v>Standard</v>
      </c>
    </row>
    <row r="324" spans="1:17" ht="16.5" customHeight="1" x14ac:dyDescent="0.45">
      <c r="A324" s="31" t="str">
        <f>'1. Raw Data'!A324</f>
        <v>TXN-100322</v>
      </c>
      <c r="B324" s="32">
        <f>IFERROR(DATEVALUE('1. Raw Data'!B324),"")</f>
        <v>45334</v>
      </c>
      <c r="C324" s="33" t="str">
        <f t="shared" si="20"/>
        <v>Feb</v>
      </c>
      <c r="D324" s="33" t="str">
        <f t="shared" si="21"/>
        <v>Q1</v>
      </c>
      <c r="E324" s="34">
        <f t="shared" si="22"/>
        <v>2024</v>
      </c>
      <c r="F324" s="31" t="str">
        <f>PROPER(TRIM('1. Raw Data'!C324))</f>
        <v>Westside</v>
      </c>
      <c r="G324" s="31" t="str">
        <f>TRIM('1. Raw Data'!D324)</f>
        <v>Credit Card</v>
      </c>
      <c r="H324" s="31" t="str">
        <f>TRIM('1. Raw Data'!E324)</f>
        <v>Cards</v>
      </c>
      <c r="I324" s="31" t="str">
        <f>TRIM('1. Raw Data'!F324)</f>
        <v>James Patel</v>
      </c>
      <c r="J324" s="33" t="str">
        <f>PROPER(TRIM('1. Raw Data'!G324))</f>
        <v>Active</v>
      </c>
      <c r="K324" s="33" t="str">
        <f>TRIM('1. Raw Data'!H324)</f>
        <v>Medium</v>
      </c>
      <c r="L324" s="35">
        <f>IFERROR(IF('1. Raw Data'!I324="",AVERAGE(IF('1. Raw Data'!I3:I402&lt;&gt;"",'1. Raw Data'!I3:I402)),VALUE('1. Raw Data'!I324)),0)</f>
        <v>128590.85</v>
      </c>
      <c r="M324" s="36">
        <f>IFERROR(IF('1. Raw Data'!J324="",AVERAGE(IF('1. Raw Data'!J3:J402&lt;&gt;"",'1. Raw Data'!J3:J402)),VALUE('1. Raw Data'!J324)),0)</f>
        <v>6.3</v>
      </c>
      <c r="N324" s="34">
        <f>'1. Raw Data'!K324</f>
        <v>36</v>
      </c>
      <c r="O324" s="35">
        <f t="shared" si="23"/>
        <v>3929.4860366069584</v>
      </c>
      <c r="P324" s="34">
        <f>'1. Raw Data'!L324</f>
        <v>73</v>
      </c>
      <c r="Q324" s="33" t="str">
        <f>TRIM('1. Raw Data'!M324)</f>
        <v>Premium</v>
      </c>
    </row>
    <row r="325" spans="1:17" ht="16.5" customHeight="1" x14ac:dyDescent="0.45">
      <c r="A325" s="25" t="str">
        <f>'1. Raw Data'!A325</f>
        <v>TXN-100323</v>
      </c>
      <c r="B325" s="26">
        <f>IFERROR(DATEVALUE('1. Raw Data'!B325),"")</f>
        <v>45516</v>
      </c>
      <c r="C325" s="27" t="str">
        <f t="shared" si="20"/>
        <v>Aug</v>
      </c>
      <c r="D325" s="27" t="str">
        <f t="shared" si="21"/>
        <v>Q3</v>
      </c>
      <c r="E325" s="28">
        <f t="shared" si="22"/>
        <v>2024</v>
      </c>
      <c r="F325" s="25" t="str">
        <f>PROPER(TRIM('1. Raw Data'!C325))</f>
        <v>Westside</v>
      </c>
      <c r="G325" s="25" t="str">
        <f>TRIM('1. Raw Data'!D325)</f>
        <v>Personal Loan</v>
      </c>
      <c r="H325" s="25" t="str">
        <f>TRIM('1. Raw Data'!E325)</f>
        <v>Loans</v>
      </c>
      <c r="I325" s="25" t="str">
        <f>TRIM('1. Raw Data'!F325)</f>
        <v>James Patel</v>
      </c>
      <c r="J325" s="27" t="str">
        <f>PROPER(TRIM('1. Raw Data'!G325))</f>
        <v>Active</v>
      </c>
      <c r="K325" s="27" t="str">
        <f>TRIM('1. Raw Data'!H325)</f>
        <v>High</v>
      </c>
      <c r="L325" s="29">
        <f>IFERROR(IF('1. Raw Data'!I325="",AVERAGE(IF('1. Raw Data'!I3:I402&lt;&gt;"",'1. Raw Data'!I3:I402)),VALUE('1. Raw Data'!I325)),0)</f>
        <v>0</v>
      </c>
      <c r="M325" s="30">
        <f>IFERROR(IF('1. Raw Data'!J325="",AVERAGE(IF('1. Raw Data'!J3:J402&lt;&gt;"",'1. Raw Data'!J3:J402)),VALUE('1. Raw Data'!J325)),0)</f>
        <v>10.79</v>
      </c>
      <c r="N325" s="28">
        <f>'1. Raw Data'!K325</f>
        <v>24</v>
      </c>
      <c r="O325" s="29">
        <f t="shared" si="23"/>
        <v>0</v>
      </c>
      <c r="P325" s="28">
        <f>'1. Raw Data'!L325</f>
        <v>47</v>
      </c>
      <c r="Q325" s="27" t="str">
        <f>TRIM('1. Raw Data'!M325)</f>
        <v>Premium</v>
      </c>
    </row>
    <row r="326" spans="1:17" ht="16.5" customHeight="1" x14ac:dyDescent="0.45">
      <c r="A326" s="31" t="str">
        <f>'1. Raw Data'!A326</f>
        <v>TXN-100324</v>
      </c>
      <c r="B326" s="32">
        <f>IFERROR(DATEVALUE('1. Raw Data'!B326),"")</f>
        <v>45468</v>
      </c>
      <c r="C326" s="33" t="str">
        <f t="shared" si="20"/>
        <v>Jun</v>
      </c>
      <c r="D326" s="33" t="str">
        <f t="shared" si="21"/>
        <v>Q2</v>
      </c>
      <c r="E326" s="34">
        <f t="shared" si="22"/>
        <v>2024</v>
      </c>
      <c r="F326" s="31" t="str">
        <f>PROPER(TRIM('1. Raw Data'!C326))</f>
        <v>Northpark</v>
      </c>
      <c r="G326" s="31" t="str">
        <f>TRIM('1. Raw Data'!D326)</f>
        <v>Business Loan</v>
      </c>
      <c r="H326" s="31" t="str">
        <f>TRIM('1. Raw Data'!E326)</f>
        <v>Loans</v>
      </c>
      <c r="I326" s="31" t="str">
        <f>TRIM('1. Raw Data'!F326)</f>
        <v>Maria Lopez</v>
      </c>
      <c r="J326" s="33" t="str">
        <f>PROPER(TRIM('1. Raw Data'!G326))</f>
        <v>Active</v>
      </c>
      <c r="K326" s="33" t="str">
        <f>TRIM('1. Raw Data'!H326)</f>
        <v>Medium</v>
      </c>
      <c r="L326" s="35">
        <f>IFERROR(IF('1. Raw Data'!I326="",AVERAGE(IF('1. Raw Data'!I3:I402&lt;&gt;"",'1. Raw Data'!I3:I402)),VALUE('1. Raw Data'!I326)),0)</f>
        <v>248006.59</v>
      </c>
      <c r="M326" s="36">
        <f>IFERROR(IF('1. Raw Data'!J326="",AVERAGE(IF('1. Raw Data'!J3:J402&lt;&gt;"",'1. Raw Data'!J3:J402)),VALUE('1. Raw Data'!J326)),0)</f>
        <v>9.6300000000000008</v>
      </c>
      <c r="N326" s="34">
        <f>'1. Raw Data'!K326</f>
        <v>120</v>
      </c>
      <c r="O326" s="35">
        <f t="shared" si="23"/>
        <v>3226.8230790069169</v>
      </c>
      <c r="P326" s="34">
        <f>'1. Raw Data'!L326</f>
        <v>23</v>
      </c>
      <c r="Q326" s="33" t="str">
        <f>TRIM('1. Raw Data'!M326)</f>
        <v>Premium</v>
      </c>
    </row>
    <row r="327" spans="1:17" ht="16.5" customHeight="1" x14ac:dyDescent="0.45">
      <c r="A327" s="25" t="str">
        <f>'1. Raw Data'!A327</f>
        <v>TXN-100325</v>
      </c>
      <c r="B327" s="26">
        <f>IFERROR(DATEVALUE('1. Raw Data'!B327),"")</f>
        <v>45426</v>
      </c>
      <c r="C327" s="27" t="str">
        <f t="shared" si="20"/>
        <v>May</v>
      </c>
      <c r="D327" s="27" t="str">
        <f t="shared" si="21"/>
        <v>Q2</v>
      </c>
      <c r="E327" s="28">
        <f t="shared" si="22"/>
        <v>2024</v>
      </c>
      <c r="F327" s="25" t="str">
        <f>PROPER(TRIM('1. Raw Data'!C327))</f>
        <v>Uptown</v>
      </c>
      <c r="G327" s="25" t="str">
        <f>TRIM('1. Raw Data'!D327)</f>
        <v>Checking Account</v>
      </c>
      <c r="H327" s="25" t="str">
        <f>TRIM('1. Raw Data'!E327)</f>
        <v>Deposits</v>
      </c>
      <c r="I327" s="25" t="str">
        <f>TRIM('1. Raw Data'!F327)</f>
        <v>David Kim</v>
      </c>
      <c r="J327" s="27" t="str">
        <f>PROPER(TRIM('1. Raw Data'!G327))</f>
        <v>Active</v>
      </c>
      <c r="K327" s="27" t="str">
        <f>TRIM('1. Raw Data'!H327)</f>
        <v>Low</v>
      </c>
      <c r="L327" s="29">
        <f>IFERROR(IF('1. Raw Data'!I327="",AVERAGE(IF('1. Raw Data'!I3:I402&lt;&gt;"",'1. Raw Data'!I3:I402)),VALUE('1. Raw Data'!I327)),0)</f>
        <v>58013.79</v>
      </c>
      <c r="M327" s="30">
        <f>IFERROR(IF('1. Raw Data'!J327="",AVERAGE(IF('1. Raw Data'!J3:J402&lt;&gt;"",'1. Raw Data'!J3:J402)),VALUE('1. Raw Data'!J327)),0)</f>
        <v>5.01</v>
      </c>
      <c r="N327" s="28">
        <f>'1. Raw Data'!K327</f>
        <v>24</v>
      </c>
      <c r="O327" s="29">
        <f t="shared" si="23"/>
        <v>2545.4054107643829</v>
      </c>
      <c r="P327" s="28">
        <f>'1. Raw Data'!L327</f>
        <v>70</v>
      </c>
      <c r="Q327" s="27" t="str">
        <f>TRIM('1. Raw Data'!M327)</f>
        <v>Standard</v>
      </c>
    </row>
    <row r="328" spans="1:17" ht="16.5" customHeight="1" x14ac:dyDescent="0.45">
      <c r="A328" s="31" t="str">
        <f>'1. Raw Data'!A328</f>
        <v>TXN-100326</v>
      </c>
      <c r="B328" s="32">
        <f>IFERROR(DATEVALUE('1. Raw Data'!B328),"")</f>
        <v>45552</v>
      </c>
      <c r="C328" s="33" t="str">
        <f t="shared" si="20"/>
        <v>Sep</v>
      </c>
      <c r="D328" s="33" t="str">
        <f t="shared" si="21"/>
        <v>Q3</v>
      </c>
      <c r="E328" s="34">
        <f t="shared" si="22"/>
        <v>2024</v>
      </c>
      <c r="F328" s="31" t="str">
        <f>PROPER(TRIM('1. Raw Data'!C328))</f>
        <v>Downtown</v>
      </c>
      <c r="G328" s="31" t="str">
        <f>TRIM('1. Raw Data'!D328)</f>
        <v>Checking Account</v>
      </c>
      <c r="H328" s="31" t="str">
        <f>TRIM('1. Raw Data'!E328)</f>
        <v>Deposits</v>
      </c>
      <c r="I328" s="31" t="str">
        <f>TRIM('1. Raw Data'!F328)</f>
        <v>Rachel Moore</v>
      </c>
      <c r="J328" s="33" t="str">
        <f>PROPER(TRIM('1. Raw Data'!G328))</f>
        <v>Active</v>
      </c>
      <c r="K328" s="33" t="str">
        <f>TRIM('1. Raw Data'!H328)</f>
        <v>Medium</v>
      </c>
      <c r="L328" s="35">
        <f>IFERROR(IF('1. Raw Data'!I328="",AVERAGE(IF('1. Raw Data'!I3:I402&lt;&gt;"",'1. Raw Data'!I3:I402)),VALUE('1. Raw Data'!I328)),0)</f>
        <v>91898.81</v>
      </c>
      <c r="M328" s="36">
        <f>IFERROR(IF('1. Raw Data'!J328="",AVERAGE(IF('1. Raw Data'!J3:J402&lt;&gt;"",'1. Raw Data'!J3:J402)),VALUE('1. Raw Data'!J328)),0)</f>
        <v>5.53</v>
      </c>
      <c r="N328" s="34">
        <f>'1. Raw Data'!K328</f>
        <v>360</v>
      </c>
      <c r="O328" s="35">
        <f t="shared" si="23"/>
        <v>523.52240739745389</v>
      </c>
      <c r="P328" s="34">
        <f>'1. Raw Data'!L328</f>
        <v>41</v>
      </c>
      <c r="Q328" s="33" t="str">
        <f>TRIM('1. Raw Data'!M328)</f>
        <v>Standard</v>
      </c>
    </row>
    <row r="329" spans="1:17" ht="16.5" customHeight="1" x14ac:dyDescent="0.45">
      <c r="A329" s="25" t="str">
        <f>'1. Raw Data'!A329</f>
        <v>TXN-100327</v>
      </c>
      <c r="B329" s="26">
        <f>IFERROR(DATEVALUE('1. Raw Data'!B329),"")</f>
        <v>45446</v>
      </c>
      <c r="C329" s="27" t="str">
        <f t="shared" si="20"/>
        <v>Jun</v>
      </c>
      <c r="D329" s="27" t="str">
        <f t="shared" si="21"/>
        <v>Q2</v>
      </c>
      <c r="E329" s="28">
        <f t="shared" si="22"/>
        <v>2024</v>
      </c>
      <c r="F329" s="25" t="str">
        <f>PROPER(TRIM('1. Raw Data'!C329))</f>
        <v>Uptown</v>
      </c>
      <c r="G329" s="25" t="str">
        <f>TRIM('1. Raw Data'!D329)</f>
        <v>Personal Loan</v>
      </c>
      <c r="H329" s="25" t="str">
        <f>TRIM('1. Raw Data'!E329)</f>
        <v>Loans</v>
      </c>
      <c r="I329" s="25" t="str">
        <f>TRIM('1. Raw Data'!F329)</f>
        <v>Sarah Chen</v>
      </c>
      <c r="J329" s="27" t="str">
        <f>PROPER(TRIM('1. Raw Data'!G329))</f>
        <v>Pending</v>
      </c>
      <c r="K329" s="27" t="str">
        <f>TRIM('1. Raw Data'!H329)</f>
        <v>Low</v>
      </c>
      <c r="L329" s="29">
        <f>IFERROR(IF('1. Raw Data'!I329="",AVERAGE(IF('1. Raw Data'!I3:I402&lt;&gt;"",'1. Raw Data'!I3:I402)),VALUE('1. Raw Data'!I329)),0)</f>
        <v>160548.17000000001</v>
      </c>
      <c r="M329" s="30">
        <f>IFERROR(IF('1. Raw Data'!J329="",AVERAGE(IF('1. Raw Data'!J3:J402&lt;&gt;"",'1. Raw Data'!J3:J402)),VALUE('1. Raw Data'!J329)),0)</f>
        <v>13.09</v>
      </c>
      <c r="N329" s="28">
        <f>'1. Raw Data'!K329</f>
        <v>48</v>
      </c>
      <c r="O329" s="29">
        <f t="shared" si="23"/>
        <v>4314.2804000061551</v>
      </c>
      <c r="P329" s="28">
        <f>'1. Raw Data'!L329</f>
        <v>32</v>
      </c>
      <c r="Q329" s="27" t="str">
        <f>TRIM('1. Raw Data'!M329)</f>
        <v>Premium</v>
      </c>
    </row>
    <row r="330" spans="1:17" ht="16.5" customHeight="1" x14ac:dyDescent="0.45">
      <c r="A330" s="31" t="str">
        <f>'1. Raw Data'!A330</f>
        <v>TXN-100328</v>
      </c>
      <c r="B330" s="32">
        <f>IFERROR(DATEVALUE('1. Raw Data'!B330),"")</f>
        <v>45599</v>
      </c>
      <c r="C330" s="33" t="str">
        <f t="shared" si="20"/>
        <v>Nov</v>
      </c>
      <c r="D330" s="33" t="str">
        <f t="shared" si="21"/>
        <v>Q4</v>
      </c>
      <c r="E330" s="34">
        <f t="shared" si="22"/>
        <v>2024</v>
      </c>
      <c r="F330" s="31" t="str">
        <f>PROPER(TRIM('1. Raw Data'!C330))</f>
        <v>Downtown</v>
      </c>
      <c r="G330" s="31" t="str">
        <f>TRIM('1. Raw Data'!D330)</f>
        <v>Auto Loan</v>
      </c>
      <c r="H330" s="31" t="str">
        <f>TRIM('1. Raw Data'!E330)</f>
        <v>Loans</v>
      </c>
      <c r="I330" s="31" t="str">
        <f>TRIM('1. Raw Data'!F330)</f>
        <v>Maria Lopez</v>
      </c>
      <c r="J330" s="33" t="str">
        <f>PROPER(TRIM('1. Raw Data'!G330))</f>
        <v>Active</v>
      </c>
      <c r="K330" s="33" t="str">
        <f>TRIM('1. Raw Data'!H330)</f>
        <v>Medium</v>
      </c>
      <c r="L330" s="35">
        <f>IFERROR(IF('1. Raw Data'!I330="",AVERAGE(IF('1. Raw Data'!I3:I402&lt;&gt;"",'1. Raw Data'!I3:I402)),VALUE('1. Raw Data'!I330)),0)</f>
        <v>40024.54</v>
      </c>
      <c r="M330" s="36">
        <f>IFERROR(IF('1. Raw Data'!J330="",AVERAGE(IF('1. Raw Data'!J3:J402&lt;&gt;"",'1. Raw Data'!J3:J402)),VALUE('1. Raw Data'!J330)),0)</f>
        <v>7.25</v>
      </c>
      <c r="N330" s="34">
        <f>'1. Raw Data'!K330</f>
        <v>48</v>
      </c>
      <c r="O330" s="35">
        <f t="shared" si="23"/>
        <v>963.08660159587635</v>
      </c>
      <c r="P330" s="34">
        <f>'1. Raw Data'!L330</f>
        <v>43</v>
      </c>
      <c r="Q330" s="33" t="str">
        <f>TRIM('1. Raw Data'!M330)</f>
        <v>Standard</v>
      </c>
    </row>
    <row r="331" spans="1:17" ht="16.5" customHeight="1" x14ac:dyDescent="0.45">
      <c r="A331" s="25" t="str">
        <f>'1. Raw Data'!A331</f>
        <v>TXN-100329</v>
      </c>
      <c r="B331" s="26">
        <f>IFERROR(DATEVALUE('1. Raw Data'!B331),"")</f>
        <v>45339</v>
      </c>
      <c r="C331" s="27" t="str">
        <f t="shared" si="20"/>
        <v>Feb</v>
      </c>
      <c r="D331" s="27" t="str">
        <f t="shared" si="21"/>
        <v>Q1</v>
      </c>
      <c r="E331" s="28">
        <f t="shared" si="22"/>
        <v>2024</v>
      </c>
      <c r="F331" s="25" t="str">
        <f>PROPER(TRIM('1. Raw Data'!C331))</f>
        <v>Eastgate</v>
      </c>
      <c r="G331" s="25" t="str">
        <f>TRIM('1. Raw Data'!D331)</f>
        <v>Personal Loan</v>
      </c>
      <c r="H331" s="25" t="str">
        <f>TRIM('1. Raw Data'!E331)</f>
        <v>Loans</v>
      </c>
      <c r="I331" s="25" t="str">
        <f>TRIM('1. Raw Data'!F331)</f>
        <v>Maria Lopez</v>
      </c>
      <c r="J331" s="27" t="str">
        <f>PROPER(TRIM('1. Raw Data'!G331))</f>
        <v>Active</v>
      </c>
      <c r="K331" s="27" t="str">
        <f>TRIM('1. Raw Data'!H331)</f>
        <v>Medium</v>
      </c>
      <c r="L331" s="29">
        <f>IFERROR(IF('1. Raw Data'!I331="",AVERAGE(IF('1. Raw Data'!I3:I402&lt;&gt;"",'1. Raw Data'!I3:I402)),VALUE('1. Raw Data'!I331)),0)</f>
        <v>196584.97</v>
      </c>
      <c r="M331" s="30">
        <f>IFERROR(IF('1. Raw Data'!J331="",AVERAGE(IF('1. Raw Data'!J3:J402&lt;&gt;"",'1. Raw Data'!J3:J402)),VALUE('1. Raw Data'!J331)),0)</f>
        <v>12.54</v>
      </c>
      <c r="N331" s="28">
        <f>'1. Raw Data'!K331</f>
        <v>360</v>
      </c>
      <c r="O331" s="29">
        <f t="shared" si="23"/>
        <v>2104.1718773664747</v>
      </c>
      <c r="P331" s="28">
        <f>'1. Raw Data'!L331</f>
        <v>73</v>
      </c>
      <c r="Q331" s="27" t="str">
        <f>TRIM('1. Raw Data'!M331)</f>
        <v>Premium</v>
      </c>
    </row>
    <row r="332" spans="1:17" ht="16.5" customHeight="1" x14ac:dyDescent="0.45">
      <c r="A332" s="31" t="str">
        <f>'1. Raw Data'!A332</f>
        <v>TXN-100330</v>
      </c>
      <c r="B332" s="32">
        <f>IFERROR(DATEVALUE('1. Raw Data'!B332),"")</f>
        <v>45598</v>
      </c>
      <c r="C332" s="33" t="str">
        <f t="shared" si="20"/>
        <v>Nov</v>
      </c>
      <c r="D332" s="33" t="str">
        <f t="shared" si="21"/>
        <v>Q4</v>
      </c>
      <c r="E332" s="34">
        <f t="shared" si="22"/>
        <v>2024</v>
      </c>
      <c r="F332" s="31" t="str">
        <f>PROPER(TRIM('1. Raw Data'!C332))</f>
        <v>Uptown</v>
      </c>
      <c r="G332" s="31" t="str">
        <f>TRIM('1. Raw Data'!D332)</f>
        <v>Business Loan</v>
      </c>
      <c r="H332" s="31" t="str">
        <f>TRIM('1. Raw Data'!E332)</f>
        <v>Loans</v>
      </c>
      <c r="I332" s="31" t="str">
        <f>TRIM('1. Raw Data'!F332)</f>
        <v>James Patel</v>
      </c>
      <c r="J332" s="33" t="str">
        <f>PROPER(TRIM('1. Raw Data'!G332))</f>
        <v>Active</v>
      </c>
      <c r="K332" s="33" t="str">
        <f>TRIM('1. Raw Data'!H332)</f>
        <v>Medium</v>
      </c>
      <c r="L332" s="35">
        <f>IFERROR(IF('1. Raw Data'!I332="",AVERAGE(IF('1. Raw Data'!I3:I402&lt;&gt;"",'1. Raw Data'!I3:I402)),VALUE('1. Raw Data'!I332)),0)</f>
        <v>135766.73000000001</v>
      </c>
      <c r="M332" s="36">
        <f>IFERROR(IF('1. Raw Data'!J332="",AVERAGE(IF('1. Raw Data'!J3:J402&lt;&gt;"",'1. Raw Data'!J3:J402)),VALUE('1. Raw Data'!J332)),0)</f>
        <v>5.56</v>
      </c>
      <c r="N332" s="34">
        <f>'1. Raw Data'!K332</f>
        <v>120</v>
      </c>
      <c r="O332" s="35">
        <f t="shared" si="23"/>
        <v>1477.4654470593621</v>
      </c>
      <c r="P332" s="34">
        <f>'1. Raw Data'!L332</f>
        <v>36</v>
      </c>
      <c r="Q332" s="33" t="str">
        <f>TRIM('1. Raw Data'!M332)</f>
        <v>Premium</v>
      </c>
    </row>
    <row r="333" spans="1:17" ht="16.5" customHeight="1" x14ac:dyDescent="0.45">
      <c r="A333" s="25" t="str">
        <f>'1. Raw Data'!A333</f>
        <v>TXN-100331</v>
      </c>
      <c r="B333" s="26">
        <f>IFERROR(DATEVALUE('1. Raw Data'!B333),"")</f>
        <v>45527</v>
      </c>
      <c r="C333" s="27" t="str">
        <f t="shared" si="20"/>
        <v>Aug</v>
      </c>
      <c r="D333" s="27" t="str">
        <f t="shared" si="21"/>
        <v>Q3</v>
      </c>
      <c r="E333" s="28">
        <f t="shared" si="22"/>
        <v>2024</v>
      </c>
      <c r="F333" s="25" t="str">
        <f>PROPER(TRIM('1. Raw Data'!C333))</f>
        <v>Westside</v>
      </c>
      <c r="G333" s="25" t="str">
        <f>TRIM('1. Raw Data'!D333)</f>
        <v>Mortgage</v>
      </c>
      <c r="H333" s="25" t="str">
        <f>TRIM('1. Raw Data'!E333)</f>
        <v>Loans</v>
      </c>
      <c r="I333" s="25" t="str">
        <f>TRIM('1. Raw Data'!F333)</f>
        <v>Maria Lopez</v>
      </c>
      <c r="J333" s="27" t="str">
        <f>PROPER(TRIM('1. Raw Data'!G333))</f>
        <v>Active</v>
      </c>
      <c r="K333" s="27" t="str">
        <f>TRIM('1. Raw Data'!H333)</f>
        <v>Low</v>
      </c>
      <c r="L333" s="29">
        <f>IFERROR(IF('1. Raw Data'!I333="",AVERAGE(IF('1. Raw Data'!I3:I402&lt;&gt;"",'1. Raw Data'!I3:I402)),VALUE('1. Raw Data'!I333)),0)</f>
        <v>229810.46</v>
      </c>
      <c r="M333" s="30">
        <f>IFERROR(IF('1. Raw Data'!J333="",AVERAGE(IF('1. Raw Data'!J3:J402&lt;&gt;"",'1. Raw Data'!J3:J402)),VALUE('1. Raw Data'!J333)),0)</f>
        <v>9.51</v>
      </c>
      <c r="N333" s="28">
        <f>'1. Raw Data'!K333</f>
        <v>36</v>
      </c>
      <c r="O333" s="29">
        <f t="shared" si="23"/>
        <v>7362.5812225426853</v>
      </c>
      <c r="P333" s="28">
        <f>'1. Raw Data'!L333</f>
        <v>48</v>
      </c>
      <c r="Q333" s="27" t="str">
        <f>TRIM('1. Raw Data'!M333)</f>
        <v>Premium</v>
      </c>
    </row>
    <row r="334" spans="1:17" ht="16.5" customHeight="1" x14ac:dyDescent="0.45">
      <c r="A334" s="31" t="str">
        <f>'1. Raw Data'!A334</f>
        <v>TXN-100332</v>
      </c>
      <c r="B334" s="32">
        <f>IFERROR(DATEVALUE('1. Raw Data'!B334),"")</f>
        <v>45654</v>
      </c>
      <c r="C334" s="33" t="str">
        <f t="shared" si="20"/>
        <v>Dec</v>
      </c>
      <c r="D334" s="33" t="str">
        <f t="shared" si="21"/>
        <v>Q4</v>
      </c>
      <c r="E334" s="34">
        <f t="shared" si="22"/>
        <v>2024</v>
      </c>
      <c r="F334" s="31" t="str">
        <f>PROPER(TRIM('1. Raw Data'!C334))</f>
        <v>Westside</v>
      </c>
      <c r="G334" s="31" t="str">
        <f>TRIM('1. Raw Data'!D334)</f>
        <v>Savings Account</v>
      </c>
      <c r="H334" s="31" t="str">
        <f>TRIM('1. Raw Data'!E334)</f>
        <v>Deposits</v>
      </c>
      <c r="I334" s="31" t="str">
        <f>TRIM('1. Raw Data'!F334)</f>
        <v>Sarah Chen</v>
      </c>
      <c r="J334" s="33" t="str">
        <f>PROPER(TRIM('1. Raw Data'!G334))</f>
        <v>Active</v>
      </c>
      <c r="K334" s="33" t="str">
        <f>TRIM('1. Raw Data'!H334)</f>
        <v>High</v>
      </c>
      <c r="L334" s="35">
        <f>IFERROR(IF('1. Raw Data'!I334="",AVERAGE(IF('1. Raw Data'!I3:I402&lt;&gt;"",'1. Raw Data'!I3:I402)),VALUE('1. Raw Data'!I334)),0)</f>
        <v>71426.179999999993</v>
      </c>
      <c r="M334" s="36">
        <f>IFERROR(IF('1. Raw Data'!J334="",AVERAGE(IF('1. Raw Data'!J3:J402&lt;&gt;"",'1. Raw Data'!J3:J402)),VALUE('1. Raw Data'!J334)),0)</f>
        <v>7.59</v>
      </c>
      <c r="N334" s="34">
        <f>'1. Raw Data'!K334</f>
        <v>24</v>
      </c>
      <c r="O334" s="35">
        <f t="shared" si="23"/>
        <v>3217.0728518537144</v>
      </c>
      <c r="P334" s="34">
        <f>'1. Raw Data'!L334</f>
        <v>23</v>
      </c>
      <c r="Q334" s="33" t="str">
        <f>TRIM('1. Raw Data'!M334)</f>
        <v>Standard</v>
      </c>
    </row>
    <row r="335" spans="1:17" ht="16.5" customHeight="1" x14ac:dyDescent="0.45">
      <c r="A335" s="25" t="str">
        <f>'1. Raw Data'!A335</f>
        <v>TXN-100333</v>
      </c>
      <c r="B335" s="26">
        <f>IFERROR(DATEVALUE('1. Raw Data'!B335),"")</f>
        <v>45383</v>
      </c>
      <c r="C335" s="27" t="str">
        <f t="shared" si="20"/>
        <v>Apr</v>
      </c>
      <c r="D335" s="27" t="str">
        <f t="shared" si="21"/>
        <v>Q2</v>
      </c>
      <c r="E335" s="28">
        <f t="shared" si="22"/>
        <v>2024</v>
      </c>
      <c r="F335" s="25" t="str">
        <f>PROPER(TRIM('1. Raw Data'!C335))</f>
        <v>Eastgate</v>
      </c>
      <c r="G335" s="25" t="str">
        <f>TRIM('1. Raw Data'!D335)</f>
        <v>Savings Account</v>
      </c>
      <c r="H335" s="25" t="str">
        <f>TRIM('1. Raw Data'!E335)</f>
        <v>Deposits</v>
      </c>
      <c r="I335" s="25" t="str">
        <f>TRIM('1. Raw Data'!F335)</f>
        <v>Rachel Moore</v>
      </c>
      <c r="J335" s="27" t="str">
        <f>PROPER(TRIM('1. Raw Data'!G335))</f>
        <v>Inactive</v>
      </c>
      <c r="K335" s="27" t="str">
        <f>TRIM('1. Raw Data'!H335)</f>
        <v>Low</v>
      </c>
      <c r="L335" s="29">
        <f>IFERROR(IF('1. Raw Data'!I335="",AVERAGE(IF('1. Raw Data'!I3:I402&lt;&gt;"",'1. Raw Data'!I3:I402)),VALUE('1. Raw Data'!I335)),0)</f>
        <v>205954.94</v>
      </c>
      <c r="M335" s="30">
        <f>IFERROR(IF('1. Raw Data'!J335="",AVERAGE(IF('1. Raw Data'!J3:J402&lt;&gt;"",'1. Raw Data'!J3:J402)),VALUE('1. Raw Data'!J335)),0)</f>
        <v>10.4</v>
      </c>
      <c r="N335" s="28">
        <f>'1. Raw Data'!K335</f>
        <v>120</v>
      </c>
      <c r="O335" s="29">
        <f t="shared" si="23"/>
        <v>2767.5333843606813</v>
      </c>
      <c r="P335" s="28">
        <f>'1. Raw Data'!L335</f>
        <v>61</v>
      </c>
      <c r="Q335" s="27" t="str">
        <f>TRIM('1. Raw Data'!M335)</f>
        <v>Premium</v>
      </c>
    </row>
    <row r="336" spans="1:17" ht="16.5" customHeight="1" x14ac:dyDescent="0.45">
      <c r="A336" s="31" t="str">
        <f>'1. Raw Data'!A336</f>
        <v>TXN-100334</v>
      </c>
      <c r="B336" s="32">
        <f>IFERROR(DATEVALUE('1. Raw Data'!B336),"")</f>
        <v>45600</v>
      </c>
      <c r="C336" s="33" t="str">
        <f t="shared" si="20"/>
        <v>Nov</v>
      </c>
      <c r="D336" s="33" t="str">
        <f t="shared" si="21"/>
        <v>Q4</v>
      </c>
      <c r="E336" s="34">
        <f t="shared" si="22"/>
        <v>2024</v>
      </c>
      <c r="F336" s="31" t="str">
        <f>PROPER(TRIM('1. Raw Data'!C336))</f>
        <v>Eastgate</v>
      </c>
      <c r="G336" s="31" t="str">
        <f>TRIM('1. Raw Data'!D336)</f>
        <v>Savings Account</v>
      </c>
      <c r="H336" s="31" t="str">
        <f>TRIM('1. Raw Data'!E336)</f>
        <v>Deposits</v>
      </c>
      <c r="I336" s="31" t="str">
        <f>TRIM('1. Raw Data'!F336)</f>
        <v>Maria Lopez</v>
      </c>
      <c r="J336" s="33" t="str">
        <f>PROPER(TRIM('1. Raw Data'!G336))</f>
        <v>Active</v>
      </c>
      <c r="K336" s="33" t="str">
        <f>TRIM('1. Raw Data'!H336)</f>
        <v>Low</v>
      </c>
      <c r="L336" s="35">
        <f>IFERROR(IF('1. Raw Data'!I336="",AVERAGE(IF('1. Raw Data'!I3:I402&lt;&gt;"",'1. Raw Data'!I3:I402)),VALUE('1. Raw Data'!I336)),0)</f>
        <v>216465.52</v>
      </c>
      <c r="M336" s="36">
        <f>IFERROR(IF('1. Raw Data'!J336="",AVERAGE(IF('1. Raw Data'!J3:J402&lt;&gt;"",'1. Raw Data'!J3:J402)),VALUE('1. Raw Data'!J336)),0)</f>
        <v>10.14</v>
      </c>
      <c r="N336" s="34">
        <f>'1. Raw Data'!K336</f>
        <v>60</v>
      </c>
      <c r="O336" s="35">
        <f t="shared" si="23"/>
        <v>4614.1781488267525</v>
      </c>
      <c r="P336" s="34">
        <f>'1. Raw Data'!L336</f>
        <v>42</v>
      </c>
      <c r="Q336" s="33" t="str">
        <f>TRIM('1. Raw Data'!M336)</f>
        <v>Premium</v>
      </c>
    </row>
    <row r="337" spans="1:17" ht="16.5" customHeight="1" x14ac:dyDescent="0.45">
      <c r="A337" s="25" t="str">
        <f>'1. Raw Data'!A337</f>
        <v>TXN-100335</v>
      </c>
      <c r="B337" s="26">
        <f>IFERROR(DATEVALUE('1. Raw Data'!B337),"")</f>
        <v>45559</v>
      </c>
      <c r="C337" s="27" t="str">
        <f t="shared" si="20"/>
        <v>Sep</v>
      </c>
      <c r="D337" s="27" t="str">
        <f t="shared" si="21"/>
        <v>Q3</v>
      </c>
      <c r="E337" s="28">
        <f t="shared" si="22"/>
        <v>2024</v>
      </c>
      <c r="F337" s="25" t="str">
        <f>PROPER(TRIM('1. Raw Data'!C337))</f>
        <v>Westside</v>
      </c>
      <c r="G337" s="25" t="str">
        <f>TRIM('1. Raw Data'!D337)</f>
        <v>Checking Account</v>
      </c>
      <c r="H337" s="25" t="str">
        <f>TRIM('1. Raw Data'!E337)</f>
        <v>Deposits</v>
      </c>
      <c r="I337" s="25" t="str">
        <f>TRIM('1. Raw Data'!F337)</f>
        <v>Sarah Chen</v>
      </c>
      <c r="J337" s="27" t="str">
        <f>PROPER(TRIM('1. Raw Data'!G337))</f>
        <v>Pending</v>
      </c>
      <c r="K337" s="27" t="str">
        <f>TRIM('1. Raw Data'!H337)</f>
        <v>High</v>
      </c>
      <c r="L337" s="29">
        <f>IFERROR(IF('1. Raw Data'!I337="",AVERAGE(IF('1. Raw Data'!I3:I402&lt;&gt;"",'1. Raw Data'!I3:I402)),VALUE('1. Raw Data'!I337)),0)</f>
        <v>157917.64000000001</v>
      </c>
      <c r="M337" s="30">
        <f>IFERROR(IF('1. Raw Data'!J337="",AVERAGE(IF('1. Raw Data'!J3:J402&lt;&gt;"",'1. Raw Data'!J3:J402)),VALUE('1. Raw Data'!J337)),0)</f>
        <v>12.79</v>
      </c>
      <c r="N337" s="28">
        <f>'1. Raw Data'!K337</f>
        <v>60</v>
      </c>
      <c r="O337" s="29">
        <f t="shared" si="23"/>
        <v>3576.158111506837</v>
      </c>
      <c r="P337" s="28">
        <f>'1. Raw Data'!L337</f>
        <v>43</v>
      </c>
      <c r="Q337" s="27" t="str">
        <f>TRIM('1. Raw Data'!M337)</f>
        <v>Premium</v>
      </c>
    </row>
    <row r="338" spans="1:17" ht="16.5" customHeight="1" x14ac:dyDescent="0.45">
      <c r="A338" s="31" t="str">
        <f>'1. Raw Data'!A338</f>
        <v>TXN-100336</v>
      </c>
      <c r="B338" s="32">
        <f>IFERROR(DATEVALUE('1. Raw Data'!B338),"")</f>
        <v>45597</v>
      </c>
      <c r="C338" s="33" t="str">
        <f t="shared" si="20"/>
        <v>Nov</v>
      </c>
      <c r="D338" s="33" t="str">
        <f t="shared" si="21"/>
        <v>Q4</v>
      </c>
      <c r="E338" s="34">
        <f t="shared" si="22"/>
        <v>2024</v>
      </c>
      <c r="F338" s="31" t="str">
        <f>PROPER(TRIM('1. Raw Data'!C338))</f>
        <v>Eastgate</v>
      </c>
      <c r="G338" s="31" t="str">
        <f>TRIM('1. Raw Data'!D338)</f>
        <v>Mortgage</v>
      </c>
      <c r="H338" s="31" t="str">
        <f>TRIM('1. Raw Data'!E338)</f>
        <v>Loans</v>
      </c>
      <c r="I338" s="31" t="str">
        <f>TRIM('1. Raw Data'!F338)</f>
        <v>David Kim</v>
      </c>
      <c r="J338" s="33" t="str">
        <f>PROPER(TRIM('1. Raw Data'!G338))</f>
        <v>Active</v>
      </c>
      <c r="K338" s="33" t="str">
        <f>TRIM('1. Raw Data'!H338)</f>
        <v>High</v>
      </c>
      <c r="L338" s="35">
        <f>IFERROR(IF('1. Raw Data'!I338="",AVERAGE(IF('1. Raw Data'!I3:I402&lt;&gt;"",'1. Raw Data'!I3:I402)),VALUE('1. Raw Data'!I338)),0)</f>
        <v>40987.49</v>
      </c>
      <c r="M338" s="36">
        <f>IFERROR(IF('1. Raw Data'!J338="",AVERAGE(IF('1. Raw Data'!J3:J402&lt;&gt;"",'1. Raw Data'!J3:J402)),VALUE('1. Raw Data'!J338)),0)</f>
        <v>13.88</v>
      </c>
      <c r="N338" s="34">
        <f>'1. Raw Data'!K338</f>
        <v>36</v>
      </c>
      <c r="O338" s="35">
        <f t="shared" si="23"/>
        <v>1398.4675754723235</v>
      </c>
      <c r="P338" s="34">
        <f>'1. Raw Data'!L338</f>
        <v>40</v>
      </c>
      <c r="Q338" s="33" t="str">
        <f>TRIM('1. Raw Data'!M338)</f>
        <v>Standard</v>
      </c>
    </row>
    <row r="339" spans="1:17" ht="16.5" customHeight="1" x14ac:dyDescent="0.45">
      <c r="A339" s="25" t="str">
        <f>'1. Raw Data'!A339</f>
        <v>TXN-100337</v>
      </c>
      <c r="B339" s="26">
        <f>IFERROR(DATEVALUE('1. Raw Data'!B339),"")</f>
        <v>45325</v>
      </c>
      <c r="C339" s="27" t="str">
        <f t="shared" si="20"/>
        <v>Feb</v>
      </c>
      <c r="D339" s="27" t="str">
        <f t="shared" si="21"/>
        <v>Q1</v>
      </c>
      <c r="E339" s="28">
        <f t="shared" si="22"/>
        <v>2024</v>
      </c>
      <c r="F339" s="25" t="str">
        <f>PROPER(TRIM('1. Raw Data'!C339))</f>
        <v>Northpark</v>
      </c>
      <c r="G339" s="25" t="str">
        <f>TRIM('1. Raw Data'!D339)</f>
        <v>Auto Loan</v>
      </c>
      <c r="H339" s="25" t="str">
        <f>TRIM('1. Raw Data'!E339)</f>
        <v>Loans</v>
      </c>
      <c r="I339" s="25" t="str">
        <f>TRIM('1. Raw Data'!F339)</f>
        <v>Sarah Chen</v>
      </c>
      <c r="J339" s="27" t="str">
        <f>PROPER(TRIM('1. Raw Data'!G339))</f>
        <v>Active</v>
      </c>
      <c r="K339" s="27" t="str">
        <f>TRIM('1. Raw Data'!H339)</f>
        <v>Low</v>
      </c>
      <c r="L339" s="29">
        <f>IFERROR(IF('1. Raw Data'!I339="",AVERAGE(IF('1. Raw Data'!I3:I402&lt;&gt;"",'1. Raw Data'!I3:I402)),VALUE('1. Raw Data'!I339)),0)</f>
        <v>191056.57</v>
      </c>
      <c r="M339" s="30">
        <f>IFERROR(IF('1. Raw Data'!J339="",AVERAGE(IF('1. Raw Data'!J3:J402&lt;&gt;"",'1. Raw Data'!J3:J402)),VALUE('1. Raw Data'!J339)),0)</f>
        <v>9.44</v>
      </c>
      <c r="N339" s="28">
        <f>'1. Raw Data'!K339</f>
        <v>360</v>
      </c>
      <c r="O339" s="29">
        <f t="shared" si="23"/>
        <v>1598.1501028710618</v>
      </c>
      <c r="P339" s="28">
        <f>'1. Raw Data'!L339</f>
        <v>61</v>
      </c>
      <c r="Q339" s="27" t="str">
        <f>TRIM('1. Raw Data'!M339)</f>
        <v>Premium</v>
      </c>
    </row>
    <row r="340" spans="1:17" ht="16.5" customHeight="1" x14ac:dyDescent="0.45">
      <c r="A340" s="31" t="str">
        <f>'1. Raw Data'!A340</f>
        <v>TXN-100338</v>
      </c>
      <c r="B340" s="32">
        <f>IFERROR(DATEVALUE('1. Raw Data'!B340),"")</f>
        <v>45618</v>
      </c>
      <c r="C340" s="33" t="str">
        <f t="shared" si="20"/>
        <v>Nov</v>
      </c>
      <c r="D340" s="33" t="str">
        <f t="shared" si="21"/>
        <v>Q4</v>
      </c>
      <c r="E340" s="34">
        <f t="shared" si="22"/>
        <v>2024</v>
      </c>
      <c r="F340" s="31" t="str">
        <f>PROPER(TRIM('1. Raw Data'!C340))</f>
        <v>Westside</v>
      </c>
      <c r="G340" s="31" t="str">
        <f>TRIM('1. Raw Data'!D340)</f>
        <v>Fixed Deposit</v>
      </c>
      <c r="H340" s="31" t="str">
        <f>TRIM('1. Raw Data'!E340)</f>
        <v>Deposits</v>
      </c>
      <c r="I340" s="31" t="str">
        <f>TRIM('1. Raw Data'!F340)</f>
        <v>James Patel</v>
      </c>
      <c r="J340" s="33" t="str">
        <f>PROPER(TRIM('1. Raw Data'!G340))</f>
        <v>Active</v>
      </c>
      <c r="K340" s="33" t="str">
        <f>TRIM('1. Raw Data'!H340)</f>
        <v>Medium</v>
      </c>
      <c r="L340" s="35">
        <f>IFERROR(IF('1. Raw Data'!I340="",AVERAGE(IF('1. Raw Data'!I3:I402&lt;&gt;"",'1. Raw Data'!I3:I402)),VALUE('1. Raw Data'!I340)),0)</f>
        <v>167281.69</v>
      </c>
      <c r="M340" s="36">
        <f>IFERROR(IF('1. Raw Data'!J340="",AVERAGE(IF('1. Raw Data'!J3:J402&lt;&gt;"",'1. Raw Data'!J3:J402)),VALUE('1. Raw Data'!J340)),0)</f>
        <v>9.35</v>
      </c>
      <c r="N340" s="34">
        <f>'1. Raw Data'!K340</f>
        <v>24</v>
      </c>
      <c r="O340" s="35">
        <f t="shared" si="23"/>
        <v>7669.1120611522956</v>
      </c>
      <c r="P340" s="34">
        <f>'1. Raw Data'!L340</f>
        <v>45</v>
      </c>
      <c r="Q340" s="33" t="str">
        <f>TRIM('1. Raw Data'!M340)</f>
        <v>Premium</v>
      </c>
    </row>
    <row r="341" spans="1:17" ht="16.5" customHeight="1" x14ac:dyDescent="0.45">
      <c r="A341" s="25" t="str">
        <f>'1. Raw Data'!A341</f>
        <v>TXN-100339</v>
      </c>
      <c r="B341" s="26">
        <f>IFERROR(DATEVALUE('1. Raw Data'!B341),"")</f>
        <v>45500</v>
      </c>
      <c r="C341" s="27" t="str">
        <f t="shared" si="20"/>
        <v>Jul</v>
      </c>
      <c r="D341" s="27" t="str">
        <f t="shared" si="21"/>
        <v>Q3</v>
      </c>
      <c r="E341" s="28">
        <f t="shared" si="22"/>
        <v>2024</v>
      </c>
      <c r="F341" s="25" t="str">
        <f>PROPER(TRIM('1. Raw Data'!C341))</f>
        <v>Westside</v>
      </c>
      <c r="G341" s="25" t="str">
        <f>TRIM('1. Raw Data'!D341)</f>
        <v>Business Loan</v>
      </c>
      <c r="H341" s="25" t="str">
        <f>TRIM('1. Raw Data'!E341)</f>
        <v>Loans</v>
      </c>
      <c r="I341" s="25" t="str">
        <f>TRIM('1. Raw Data'!F341)</f>
        <v>Sarah Chen</v>
      </c>
      <c r="J341" s="27" t="str">
        <f>PROPER(TRIM('1. Raw Data'!G341))</f>
        <v>Active</v>
      </c>
      <c r="K341" s="27" t="str">
        <f>TRIM('1. Raw Data'!H341)</f>
        <v>High</v>
      </c>
      <c r="L341" s="29">
        <f>IFERROR(IF('1. Raw Data'!I341="",AVERAGE(IF('1. Raw Data'!I3:I402&lt;&gt;"",'1. Raw Data'!I3:I402)),VALUE('1. Raw Data'!I341)),0)</f>
        <v>44606.39</v>
      </c>
      <c r="M341" s="30">
        <f>IFERROR(IF('1. Raw Data'!J341="",AVERAGE(IF('1. Raw Data'!J3:J402&lt;&gt;"",'1. Raw Data'!J3:J402)),VALUE('1. Raw Data'!J341)),0)</f>
        <v>4.05</v>
      </c>
      <c r="N341" s="28">
        <f>'1. Raw Data'!K341</f>
        <v>12</v>
      </c>
      <c r="O341" s="29">
        <f t="shared" si="23"/>
        <v>3799.2489262480849</v>
      </c>
      <c r="P341" s="28">
        <f>'1. Raw Data'!L341</f>
        <v>50</v>
      </c>
      <c r="Q341" s="27" t="str">
        <f>TRIM('1. Raw Data'!M341)</f>
        <v>Standard</v>
      </c>
    </row>
    <row r="342" spans="1:17" ht="16.5" customHeight="1" x14ac:dyDescent="0.45">
      <c r="A342" s="31" t="str">
        <f>'1. Raw Data'!A342</f>
        <v>TXN-100340</v>
      </c>
      <c r="B342" s="32">
        <f>IFERROR(DATEVALUE('1. Raw Data'!B342),"")</f>
        <v>45495</v>
      </c>
      <c r="C342" s="33" t="str">
        <f t="shared" si="20"/>
        <v>Jul</v>
      </c>
      <c r="D342" s="33" t="str">
        <f t="shared" si="21"/>
        <v>Q3</v>
      </c>
      <c r="E342" s="34">
        <f t="shared" si="22"/>
        <v>2024</v>
      </c>
      <c r="F342" s="31" t="str">
        <f>PROPER(TRIM('1. Raw Data'!C342))</f>
        <v>Westside</v>
      </c>
      <c r="G342" s="31" t="str">
        <f>TRIM('1. Raw Data'!D342)</f>
        <v>Auto Loan</v>
      </c>
      <c r="H342" s="31" t="str">
        <f>TRIM('1. Raw Data'!E342)</f>
        <v>Loans</v>
      </c>
      <c r="I342" s="31" t="str">
        <f>TRIM('1. Raw Data'!F342)</f>
        <v>Sarah Chen</v>
      </c>
      <c r="J342" s="33" t="str">
        <f>PROPER(TRIM('1. Raw Data'!G342))</f>
        <v>Active</v>
      </c>
      <c r="K342" s="33" t="str">
        <f>TRIM('1. Raw Data'!H342)</f>
        <v>Low</v>
      </c>
      <c r="L342" s="35">
        <f>IFERROR(IF('1. Raw Data'!I342="",AVERAGE(IF('1. Raw Data'!I3:I402&lt;&gt;"",'1. Raw Data'!I3:I402)),VALUE('1. Raw Data'!I342)),0)</f>
        <v>52343.12</v>
      </c>
      <c r="M342" s="36">
        <f>IFERROR(IF('1. Raw Data'!J342="",AVERAGE(IF('1. Raw Data'!J3:J402&lt;&gt;"",'1. Raw Data'!J3:J402)),VALUE('1. Raw Data'!J342)),0)</f>
        <v>6.24</v>
      </c>
      <c r="N342" s="34">
        <f>'1. Raw Data'!K342</f>
        <v>36</v>
      </c>
      <c r="O342" s="35">
        <f t="shared" si="23"/>
        <v>1598.0773497127359</v>
      </c>
      <c r="P342" s="34">
        <f>'1. Raw Data'!L342</f>
        <v>64</v>
      </c>
      <c r="Q342" s="33" t="str">
        <f>TRIM('1. Raw Data'!M342)</f>
        <v>Standard</v>
      </c>
    </row>
    <row r="343" spans="1:17" ht="16.5" customHeight="1" x14ac:dyDescent="0.45">
      <c r="A343" s="25" t="str">
        <f>'1. Raw Data'!A343</f>
        <v>TXN-100341</v>
      </c>
      <c r="B343" s="26">
        <f>IFERROR(DATEVALUE('1. Raw Data'!B343),"")</f>
        <v>45605</v>
      </c>
      <c r="C343" s="27" t="str">
        <f t="shared" si="20"/>
        <v>Nov</v>
      </c>
      <c r="D343" s="27" t="str">
        <f t="shared" si="21"/>
        <v>Q4</v>
      </c>
      <c r="E343" s="28">
        <f t="shared" si="22"/>
        <v>2024</v>
      </c>
      <c r="F343" s="25" t="str">
        <f>PROPER(TRIM('1. Raw Data'!C343))</f>
        <v>Downtown</v>
      </c>
      <c r="G343" s="25" t="str">
        <f>TRIM('1. Raw Data'!D343)</f>
        <v>Checking Account</v>
      </c>
      <c r="H343" s="25" t="str">
        <f>TRIM('1. Raw Data'!E343)</f>
        <v>Deposits</v>
      </c>
      <c r="I343" s="25" t="str">
        <f>TRIM('1. Raw Data'!F343)</f>
        <v>Maria Lopez</v>
      </c>
      <c r="J343" s="27" t="str">
        <f>PROPER(TRIM('1. Raw Data'!G343))</f>
        <v>Active</v>
      </c>
      <c r="K343" s="27" t="str">
        <f>TRIM('1. Raw Data'!H343)</f>
        <v>Low</v>
      </c>
      <c r="L343" s="29">
        <f>IFERROR(IF('1. Raw Data'!I343="",AVERAGE(IF('1. Raw Data'!I3:I402&lt;&gt;"",'1. Raw Data'!I3:I402)),VALUE('1. Raw Data'!I343)),0)</f>
        <v>232036.25</v>
      </c>
      <c r="M343" s="30">
        <f>IFERROR(IF('1. Raw Data'!J343="",AVERAGE(IF('1. Raw Data'!J3:J402&lt;&gt;"",'1. Raw Data'!J3:J402)),VALUE('1. Raw Data'!J343)),0)</f>
        <v>7.55</v>
      </c>
      <c r="N343" s="28">
        <f>'1. Raw Data'!K343</f>
        <v>24</v>
      </c>
      <c r="O343" s="29">
        <f t="shared" si="23"/>
        <v>10446.813015303143</v>
      </c>
      <c r="P343" s="28">
        <f>'1. Raw Data'!L343</f>
        <v>51</v>
      </c>
      <c r="Q343" s="27" t="str">
        <f>TRIM('1. Raw Data'!M343)</f>
        <v>Premium</v>
      </c>
    </row>
    <row r="344" spans="1:17" ht="16.5" customHeight="1" x14ac:dyDescent="0.45">
      <c r="A344" s="31" t="str">
        <f>'1. Raw Data'!A344</f>
        <v>TXN-100342</v>
      </c>
      <c r="B344" s="32">
        <f>IFERROR(DATEVALUE('1. Raw Data'!B344),"")</f>
        <v>45648</v>
      </c>
      <c r="C344" s="33" t="str">
        <f t="shared" si="20"/>
        <v>Dec</v>
      </c>
      <c r="D344" s="33" t="str">
        <f t="shared" si="21"/>
        <v>Q4</v>
      </c>
      <c r="E344" s="34">
        <f t="shared" si="22"/>
        <v>2024</v>
      </c>
      <c r="F344" s="31" t="str">
        <f>PROPER(TRIM('1. Raw Data'!C344))</f>
        <v>Westside</v>
      </c>
      <c r="G344" s="31" t="str">
        <f>TRIM('1. Raw Data'!D344)</f>
        <v>Credit Card</v>
      </c>
      <c r="H344" s="31" t="str">
        <f>TRIM('1. Raw Data'!E344)</f>
        <v>Cards</v>
      </c>
      <c r="I344" s="31" t="str">
        <f>TRIM('1. Raw Data'!F344)</f>
        <v>Sarah Chen</v>
      </c>
      <c r="J344" s="33" t="str">
        <f>PROPER(TRIM('1. Raw Data'!G344))</f>
        <v>Inactive</v>
      </c>
      <c r="K344" s="33" t="str">
        <f>TRIM('1. Raw Data'!H344)</f>
        <v>Medium</v>
      </c>
      <c r="L344" s="35">
        <f>IFERROR(IF('1. Raw Data'!I344="",AVERAGE(IF('1. Raw Data'!I3:I402&lt;&gt;"",'1. Raw Data'!I3:I402)),VALUE('1. Raw Data'!I344)),0)</f>
        <v>59037.11</v>
      </c>
      <c r="M344" s="36">
        <f>IFERROR(IF('1. Raw Data'!J344="",AVERAGE(IF('1. Raw Data'!J3:J402&lt;&gt;"",'1. Raw Data'!J3:J402)),VALUE('1. Raw Data'!J344)),0)</f>
        <v>13.87</v>
      </c>
      <c r="N344" s="34">
        <f>'1. Raw Data'!K344</f>
        <v>36</v>
      </c>
      <c r="O344" s="35">
        <f t="shared" si="23"/>
        <v>2014.0229028031304</v>
      </c>
      <c r="P344" s="34">
        <f>'1. Raw Data'!L344</f>
        <v>30</v>
      </c>
      <c r="Q344" s="33" t="str">
        <f>TRIM('1. Raw Data'!M344)</f>
        <v>Standard</v>
      </c>
    </row>
    <row r="345" spans="1:17" ht="16.5" customHeight="1" x14ac:dyDescent="0.45">
      <c r="A345" s="25" t="str">
        <f>'1. Raw Data'!A345</f>
        <v>TXN-100343</v>
      </c>
      <c r="B345" s="26">
        <f>IFERROR(DATEVALUE('1. Raw Data'!B345),"")</f>
        <v>45582</v>
      </c>
      <c r="C345" s="27" t="str">
        <f t="shared" si="20"/>
        <v>Oct</v>
      </c>
      <c r="D345" s="27" t="str">
        <f t="shared" si="21"/>
        <v>Q4</v>
      </c>
      <c r="E345" s="28">
        <f t="shared" si="22"/>
        <v>2024</v>
      </c>
      <c r="F345" s="25" t="str">
        <f>PROPER(TRIM('1. Raw Data'!C345))</f>
        <v>Eastgate</v>
      </c>
      <c r="G345" s="25" t="str">
        <f>TRIM('1. Raw Data'!D345)</f>
        <v>Savings Account</v>
      </c>
      <c r="H345" s="25" t="str">
        <f>TRIM('1. Raw Data'!E345)</f>
        <v>Deposits</v>
      </c>
      <c r="I345" s="25" t="str">
        <f>TRIM('1. Raw Data'!F345)</f>
        <v>James Patel</v>
      </c>
      <c r="J345" s="27" t="str">
        <f>PROPER(TRIM('1. Raw Data'!G345))</f>
        <v>Active</v>
      </c>
      <c r="K345" s="27" t="str">
        <f>TRIM('1. Raw Data'!H345)</f>
        <v>Medium</v>
      </c>
      <c r="L345" s="29">
        <f>IFERROR(IF('1. Raw Data'!I345="",AVERAGE(IF('1. Raw Data'!I3:I402&lt;&gt;"",'1. Raw Data'!I3:I402)),VALUE('1. Raw Data'!I345)),0)</f>
        <v>77795.53</v>
      </c>
      <c r="M345" s="30">
        <f>IFERROR(IF('1. Raw Data'!J345="",AVERAGE(IF('1. Raw Data'!J3:J402&lt;&gt;"",'1. Raw Data'!J3:J402)),VALUE('1. Raw Data'!J345)),0)</f>
        <v>5.35</v>
      </c>
      <c r="N345" s="28">
        <f>'1. Raw Data'!K345</f>
        <v>48</v>
      </c>
      <c r="O345" s="29">
        <f t="shared" si="23"/>
        <v>1803.9364852218678</v>
      </c>
      <c r="P345" s="28">
        <f>'1. Raw Data'!L345</f>
        <v>23</v>
      </c>
      <c r="Q345" s="27" t="str">
        <f>TRIM('1. Raw Data'!M345)</f>
        <v>Standard</v>
      </c>
    </row>
    <row r="346" spans="1:17" ht="16.5" customHeight="1" x14ac:dyDescent="0.45">
      <c r="A346" s="31" t="str">
        <f>'1. Raw Data'!A346</f>
        <v>TXN-100344</v>
      </c>
      <c r="B346" s="32">
        <f>IFERROR(DATEVALUE('1. Raw Data'!B346),"")</f>
        <v>45608</v>
      </c>
      <c r="C346" s="33" t="str">
        <f t="shared" si="20"/>
        <v>Nov</v>
      </c>
      <c r="D346" s="33" t="str">
        <f t="shared" si="21"/>
        <v>Q4</v>
      </c>
      <c r="E346" s="34">
        <f t="shared" si="22"/>
        <v>2024</v>
      </c>
      <c r="F346" s="31" t="str">
        <f>PROPER(TRIM('1. Raw Data'!C346))</f>
        <v>Downtown</v>
      </c>
      <c r="G346" s="31" t="str">
        <f>TRIM('1. Raw Data'!D346)</f>
        <v>Personal Loan</v>
      </c>
      <c r="H346" s="31" t="str">
        <f>TRIM('1. Raw Data'!E346)</f>
        <v>Loans</v>
      </c>
      <c r="I346" s="31" t="str">
        <f>TRIM('1. Raw Data'!F346)</f>
        <v>Maria Lopez</v>
      </c>
      <c r="J346" s="33" t="str">
        <f>PROPER(TRIM('1. Raw Data'!G346))</f>
        <v>Active</v>
      </c>
      <c r="K346" s="33" t="str">
        <f>TRIM('1. Raw Data'!H346)</f>
        <v>High</v>
      </c>
      <c r="L346" s="35">
        <f>IFERROR(IF('1. Raw Data'!I346="",AVERAGE(IF('1. Raw Data'!I3:I402&lt;&gt;"",'1. Raw Data'!I3:I402)),VALUE('1. Raw Data'!I346)),0)</f>
        <v>57271.93</v>
      </c>
      <c r="M346" s="36">
        <f>IFERROR(IF('1. Raw Data'!J346="",AVERAGE(IF('1. Raw Data'!J3:J402&lt;&gt;"",'1. Raw Data'!J3:J402)),VALUE('1. Raw Data'!J346)),0)</f>
        <v>2.9</v>
      </c>
      <c r="N346" s="34">
        <f>'1. Raw Data'!K346</f>
        <v>240</v>
      </c>
      <c r="O346" s="35">
        <f t="shared" si="23"/>
        <v>314.76939014266088</v>
      </c>
      <c r="P346" s="34">
        <f>'1. Raw Data'!L346</f>
        <v>65</v>
      </c>
      <c r="Q346" s="33" t="str">
        <f>TRIM('1. Raw Data'!M346)</f>
        <v>Standard</v>
      </c>
    </row>
    <row r="347" spans="1:17" ht="16.5" customHeight="1" x14ac:dyDescent="0.45">
      <c r="A347" s="25" t="str">
        <f>'1. Raw Data'!A347</f>
        <v>TXN-100345</v>
      </c>
      <c r="B347" s="26">
        <f>IFERROR(DATEVALUE('1. Raw Data'!B347),"")</f>
        <v>45610</v>
      </c>
      <c r="C347" s="27" t="str">
        <f t="shared" si="20"/>
        <v>Nov</v>
      </c>
      <c r="D347" s="27" t="str">
        <f t="shared" si="21"/>
        <v>Q4</v>
      </c>
      <c r="E347" s="28">
        <f t="shared" si="22"/>
        <v>2024</v>
      </c>
      <c r="F347" s="25" t="str">
        <f>PROPER(TRIM('1. Raw Data'!C347))</f>
        <v>Eastgate</v>
      </c>
      <c r="G347" s="25" t="str">
        <f>TRIM('1. Raw Data'!D347)</f>
        <v>Business Loan</v>
      </c>
      <c r="H347" s="25" t="str">
        <f>TRIM('1. Raw Data'!E347)</f>
        <v>Loans</v>
      </c>
      <c r="I347" s="25" t="str">
        <f>TRIM('1. Raw Data'!F347)</f>
        <v>Maria Lopez</v>
      </c>
      <c r="J347" s="27" t="str">
        <f>PROPER(TRIM('1. Raw Data'!G347))</f>
        <v>Pending</v>
      </c>
      <c r="K347" s="27" t="str">
        <f>TRIM('1. Raw Data'!H347)</f>
        <v>Medium</v>
      </c>
      <c r="L347" s="29">
        <f>IFERROR(IF('1. Raw Data'!I347="",AVERAGE(IF('1. Raw Data'!I3:I402&lt;&gt;"",'1. Raw Data'!I3:I402)),VALUE('1. Raw Data'!I347)),0)</f>
        <v>2381.6799999999998</v>
      </c>
      <c r="M347" s="30">
        <f>IFERROR(IF('1. Raw Data'!J347="",AVERAGE(IF('1. Raw Data'!J3:J402&lt;&gt;"",'1. Raw Data'!J3:J402)),VALUE('1. Raw Data'!J347)),0)</f>
        <v>7.77</v>
      </c>
      <c r="N347" s="28">
        <f>'1. Raw Data'!K347</f>
        <v>60</v>
      </c>
      <c r="O347" s="29">
        <f t="shared" si="23"/>
        <v>48.030147196952441</v>
      </c>
      <c r="P347" s="28">
        <f>'1. Raw Data'!L347</f>
        <v>63</v>
      </c>
      <c r="Q347" s="27" t="str">
        <f>TRIM('1. Raw Data'!M347)</f>
        <v>Basic</v>
      </c>
    </row>
    <row r="348" spans="1:17" ht="16.5" customHeight="1" x14ac:dyDescent="0.45">
      <c r="A348" s="31" t="str">
        <f>'1. Raw Data'!A348</f>
        <v>TXN-100346</v>
      </c>
      <c r="B348" s="32">
        <f>IFERROR(DATEVALUE('1. Raw Data'!B348),"")</f>
        <v>45396</v>
      </c>
      <c r="C348" s="33" t="str">
        <f t="shared" si="20"/>
        <v>Apr</v>
      </c>
      <c r="D348" s="33" t="str">
        <f t="shared" si="21"/>
        <v>Q2</v>
      </c>
      <c r="E348" s="34">
        <f t="shared" si="22"/>
        <v>2024</v>
      </c>
      <c r="F348" s="31" t="str">
        <f>PROPER(TRIM('1. Raw Data'!C348))</f>
        <v>Northpark</v>
      </c>
      <c r="G348" s="31" t="str">
        <f>TRIM('1. Raw Data'!D348)</f>
        <v>Business Loan</v>
      </c>
      <c r="H348" s="31" t="str">
        <f>TRIM('1. Raw Data'!E348)</f>
        <v>Loans</v>
      </c>
      <c r="I348" s="31" t="str">
        <f>TRIM('1. Raw Data'!F348)</f>
        <v>James Patel</v>
      </c>
      <c r="J348" s="33" t="str">
        <f>PROPER(TRIM('1. Raw Data'!G348))</f>
        <v>Inactive</v>
      </c>
      <c r="K348" s="33" t="str">
        <f>TRIM('1. Raw Data'!H348)</f>
        <v>Low</v>
      </c>
      <c r="L348" s="35">
        <f>IFERROR(IF('1. Raw Data'!I348="",AVERAGE(IF('1. Raw Data'!I3:I402&lt;&gt;"",'1. Raw Data'!I3:I402)),VALUE('1. Raw Data'!I348)),0)</f>
        <v>190200.98</v>
      </c>
      <c r="M348" s="36">
        <f>IFERROR(IF('1. Raw Data'!J348="",AVERAGE(IF('1. Raw Data'!J3:J402&lt;&gt;"",'1. Raw Data'!J3:J402)),VALUE('1. Raw Data'!J348)),0)</f>
        <v>2.8</v>
      </c>
      <c r="N348" s="34">
        <f>'1. Raw Data'!K348</f>
        <v>48</v>
      </c>
      <c r="O348" s="35">
        <f t="shared" si="23"/>
        <v>4193.1791717295519</v>
      </c>
      <c r="P348" s="34">
        <f>'1. Raw Data'!L348</f>
        <v>47</v>
      </c>
      <c r="Q348" s="33" t="str">
        <f>TRIM('1. Raw Data'!M348)</f>
        <v>Premium</v>
      </c>
    </row>
    <row r="349" spans="1:17" ht="16.5" customHeight="1" x14ac:dyDescent="0.45">
      <c r="A349" s="25" t="str">
        <f>'1. Raw Data'!A349</f>
        <v>TXN-100347</v>
      </c>
      <c r="B349" s="26">
        <f>IFERROR(DATEVALUE('1. Raw Data'!B349),"")</f>
        <v>45464</v>
      </c>
      <c r="C349" s="27" t="str">
        <f t="shared" si="20"/>
        <v>Jun</v>
      </c>
      <c r="D349" s="27" t="str">
        <f t="shared" si="21"/>
        <v>Q2</v>
      </c>
      <c r="E349" s="28">
        <f t="shared" si="22"/>
        <v>2024</v>
      </c>
      <c r="F349" s="25" t="str">
        <f>PROPER(TRIM('1. Raw Data'!C349))</f>
        <v>Northpark</v>
      </c>
      <c r="G349" s="25" t="str">
        <f>TRIM('1. Raw Data'!D349)</f>
        <v>Credit Card</v>
      </c>
      <c r="H349" s="25" t="str">
        <f>TRIM('1. Raw Data'!E349)</f>
        <v>Cards</v>
      </c>
      <c r="I349" s="25" t="str">
        <f>TRIM('1. Raw Data'!F349)</f>
        <v>Maria Lopez</v>
      </c>
      <c r="J349" s="27" t="str">
        <f>PROPER(TRIM('1. Raw Data'!G349))</f>
        <v>Inactive</v>
      </c>
      <c r="K349" s="27" t="str">
        <f>TRIM('1. Raw Data'!H349)</f>
        <v>Low</v>
      </c>
      <c r="L349" s="29">
        <f>IFERROR(IF('1. Raw Data'!I349="",AVERAGE(IF('1. Raw Data'!I3:I402&lt;&gt;"",'1. Raw Data'!I3:I402)),VALUE('1. Raw Data'!I349)),0)</f>
        <v>33390.54</v>
      </c>
      <c r="M349" s="30">
        <f>IFERROR(IF('1. Raw Data'!J349="",AVERAGE(IF('1. Raw Data'!J3:J402&lt;&gt;"",'1. Raw Data'!J3:J402)),VALUE('1. Raw Data'!J349)),0)</f>
        <v>7.51</v>
      </c>
      <c r="N349" s="28">
        <f>'1. Raw Data'!K349</f>
        <v>24</v>
      </c>
      <c r="O349" s="29">
        <f t="shared" si="23"/>
        <v>1502.7125339741463</v>
      </c>
      <c r="P349" s="28">
        <f>'1. Raw Data'!L349</f>
        <v>40</v>
      </c>
      <c r="Q349" s="27" t="str">
        <f>TRIM('1. Raw Data'!M349)</f>
        <v>Standard</v>
      </c>
    </row>
    <row r="350" spans="1:17" ht="16.5" customHeight="1" x14ac:dyDescent="0.45">
      <c r="A350" s="31" t="str">
        <f>'1. Raw Data'!A350</f>
        <v>TXN-100348</v>
      </c>
      <c r="B350" s="32">
        <f>IFERROR(DATEVALUE('1. Raw Data'!B350),"")</f>
        <v>45639</v>
      </c>
      <c r="C350" s="33" t="str">
        <f t="shared" si="20"/>
        <v>Dec</v>
      </c>
      <c r="D350" s="33" t="str">
        <f t="shared" si="21"/>
        <v>Q4</v>
      </c>
      <c r="E350" s="34">
        <f t="shared" si="22"/>
        <v>2024</v>
      </c>
      <c r="F350" s="31" t="str">
        <f>PROPER(TRIM('1. Raw Data'!C350))</f>
        <v>Eastgate</v>
      </c>
      <c r="G350" s="31" t="str">
        <f>TRIM('1. Raw Data'!D350)</f>
        <v>Checking Account</v>
      </c>
      <c r="H350" s="31" t="str">
        <f>TRIM('1. Raw Data'!E350)</f>
        <v>Deposits</v>
      </c>
      <c r="I350" s="31" t="str">
        <f>TRIM('1. Raw Data'!F350)</f>
        <v>Rachel Moore</v>
      </c>
      <c r="J350" s="33" t="str">
        <f>PROPER(TRIM('1. Raw Data'!G350))</f>
        <v>Active</v>
      </c>
      <c r="K350" s="33" t="str">
        <f>TRIM('1. Raw Data'!H350)</f>
        <v>Low</v>
      </c>
      <c r="L350" s="35">
        <f>IFERROR(IF('1. Raw Data'!I350="",AVERAGE(IF('1. Raw Data'!I3:I402&lt;&gt;"",'1. Raw Data'!I3:I402)),VALUE('1. Raw Data'!I350)),0)</f>
        <v>107589.02</v>
      </c>
      <c r="M350" s="36">
        <f>IFERROR(IF('1. Raw Data'!J350="",AVERAGE(IF('1. Raw Data'!J3:J402&lt;&gt;"",'1. Raw Data'!J3:J402)),VALUE('1. Raw Data'!J350)),0)</f>
        <v>7.79</v>
      </c>
      <c r="N350" s="34">
        <f>'1. Raw Data'!K350</f>
        <v>240</v>
      </c>
      <c r="O350" s="35">
        <f t="shared" si="23"/>
        <v>885.90747487797819</v>
      </c>
      <c r="P350" s="34">
        <f>'1. Raw Data'!L350</f>
        <v>23</v>
      </c>
      <c r="Q350" s="33" t="str">
        <f>TRIM('1. Raw Data'!M350)</f>
        <v>Premium</v>
      </c>
    </row>
    <row r="351" spans="1:17" ht="16.5" customHeight="1" x14ac:dyDescent="0.45">
      <c r="A351" s="25" t="str">
        <f>'1. Raw Data'!A351</f>
        <v>TXN-100349</v>
      </c>
      <c r="B351" s="26">
        <f>IFERROR(DATEVALUE('1. Raw Data'!B351),"")</f>
        <v>45515</v>
      </c>
      <c r="C351" s="27" t="str">
        <f t="shared" si="20"/>
        <v>Aug</v>
      </c>
      <c r="D351" s="27" t="str">
        <f t="shared" si="21"/>
        <v>Q3</v>
      </c>
      <c r="E351" s="28">
        <f t="shared" si="22"/>
        <v>2024</v>
      </c>
      <c r="F351" s="25" t="str">
        <f>PROPER(TRIM('1. Raw Data'!C351))</f>
        <v>Eastgate</v>
      </c>
      <c r="G351" s="25" t="str">
        <f>TRIM('1. Raw Data'!D351)</f>
        <v>Mortgage</v>
      </c>
      <c r="H351" s="25" t="str">
        <f>TRIM('1. Raw Data'!E351)</f>
        <v>Loans</v>
      </c>
      <c r="I351" s="25" t="str">
        <f>TRIM('1. Raw Data'!F351)</f>
        <v>James Patel</v>
      </c>
      <c r="J351" s="27" t="str">
        <f>PROPER(TRIM('1. Raw Data'!G351))</f>
        <v>Active</v>
      </c>
      <c r="K351" s="27" t="str">
        <f>TRIM('1. Raw Data'!H351)</f>
        <v>Medium</v>
      </c>
      <c r="L351" s="29">
        <f>IFERROR(IF('1. Raw Data'!I351="",AVERAGE(IF('1. Raw Data'!I3:I402&lt;&gt;"",'1. Raw Data'!I3:I402)),VALUE('1. Raw Data'!I351)),0)</f>
        <v>8967.93</v>
      </c>
      <c r="M351" s="30">
        <f>IFERROR(IF('1. Raw Data'!J351="",AVERAGE(IF('1. Raw Data'!J3:J402&lt;&gt;"",'1. Raw Data'!J3:J402)),VALUE('1. Raw Data'!J351)),0)</f>
        <v>11.22</v>
      </c>
      <c r="N351" s="28">
        <f>'1. Raw Data'!K351</f>
        <v>60</v>
      </c>
      <c r="O351" s="29">
        <f t="shared" si="23"/>
        <v>195.96989478926628</v>
      </c>
      <c r="P351" s="28">
        <f>'1. Raw Data'!L351</f>
        <v>27</v>
      </c>
      <c r="Q351" s="27" t="str">
        <f>TRIM('1. Raw Data'!M351)</f>
        <v>Basic</v>
      </c>
    </row>
    <row r="352" spans="1:17" ht="16.5" customHeight="1" x14ac:dyDescent="0.45">
      <c r="A352" s="31" t="str">
        <f>'1. Raw Data'!A352</f>
        <v>TXN-100350</v>
      </c>
      <c r="B352" s="32">
        <f>IFERROR(DATEVALUE('1. Raw Data'!B352),"")</f>
        <v>45344</v>
      </c>
      <c r="C352" s="33" t="str">
        <f t="shared" si="20"/>
        <v>Feb</v>
      </c>
      <c r="D352" s="33" t="str">
        <f t="shared" si="21"/>
        <v>Q1</v>
      </c>
      <c r="E352" s="34">
        <f t="shared" si="22"/>
        <v>2024</v>
      </c>
      <c r="F352" s="31" t="str">
        <f>PROPER(TRIM('1. Raw Data'!C352))</f>
        <v>Uptown</v>
      </c>
      <c r="G352" s="31" t="str">
        <f>TRIM('1. Raw Data'!D352)</f>
        <v>Fixed Deposit</v>
      </c>
      <c r="H352" s="31" t="str">
        <f>TRIM('1. Raw Data'!E352)</f>
        <v>Deposits</v>
      </c>
      <c r="I352" s="31" t="str">
        <f>TRIM('1. Raw Data'!F352)</f>
        <v>Maria Lopez</v>
      </c>
      <c r="J352" s="33" t="str">
        <f>PROPER(TRIM('1. Raw Data'!G352))</f>
        <v>Active</v>
      </c>
      <c r="K352" s="33" t="str">
        <f>TRIM('1. Raw Data'!H352)</f>
        <v>High</v>
      </c>
      <c r="L352" s="35">
        <f>IFERROR(IF('1. Raw Data'!I352="",AVERAGE(IF('1. Raw Data'!I3:I402&lt;&gt;"",'1. Raw Data'!I3:I402)),VALUE('1. Raw Data'!I352)),0)</f>
        <v>191800.83</v>
      </c>
      <c r="M352" s="36">
        <f>IFERROR(IF('1. Raw Data'!J352="",AVERAGE(IF('1. Raw Data'!J3:J402&lt;&gt;"",'1. Raw Data'!J3:J402)),VALUE('1. Raw Data'!J352)),0)</f>
        <v>0</v>
      </c>
      <c r="N352" s="34">
        <f>'1. Raw Data'!K352</f>
        <v>36</v>
      </c>
      <c r="O352" s="35">
        <f t="shared" si="23"/>
        <v>0</v>
      </c>
      <c r="P352" s="34">
        <f>'1. Raw Data'!L352</f>
        <v>50</v>
      </c>
      <c r="Q352" s="33" t="str">
        <f>TRIM('1. Raw Data'!M352)</f>
        <v>Premium</v>
      </c>
    </row>
    <row r="353" spans="1:17" ht="16.5" customHeight="1" x14ac:dyDescent="0.45">
      <c r="A353" s="25" t="str">
        <f>'1. Raw Data'!A353</f>
        <v>TXN-100351</v>
      </c>
      <c r="B353" s="26">
        <f>IFERROR(DATEVALUE('1. Raw Data'!B353),"")</f>
        <v>45592</v>
      </c>
      <c r="C353" s="27" t="str">
        <f t="shared" si="20"/>
        <v>Oct</v>
      </c>
      <c r="D353" s="27" t="str">
        <f t="shared" si="21"/>
        <v>Q4</v>
      </c>
      <c r="E353" s="28">
        <f t="shared" si="22"/>
        <v>2024</v>
      </c>
      <c r="F353" s="25" t="str">
        <f>PROPER(TRIM('1. Raw Data'!C353))</f>
        <v>Westside</v>
      </c>
      <c r="G353" s="25" t="str">
        <f>TRIM('1. Raw Data'!D353)</f>
        <v>Business Loan</v>
      </c>
      <c r="H353" s="25" t="str">
        <f>TRIM('1. Raw Data'!E353)</f>
        <v>Loans</v>
      </c>
      <c r="I353" s="25" t="str">
        <f>TRIM('1. Raw Data'!F353)</f>
        <v>Maria Lopez</v>
      </c>
      <c r="J353" s="27" t="str">
        <f>PROPER(TRIM('1. Raw Data'!G353))</f>
        <v>Active</v>
      </c>
      <c r="K353" s="27" t="str">
        <f>TRIM('1. Raw Data'!H353)</f>
        <v>Low</v>
      </c>
      <c r="L353" s="29">
        <f>IFERROR(IF('1. Raw Data'!I353="",AVERAGE(IF('1. Raw Data'!I3:I402&lt;&gt;"",'1. Raw Data'!I3:I402)),VALUE('1. Raw Data'!I353)),0)</f>
        <v>10369.799999999999</v>
      </c>
      <c r="M353" s="30">
        <f>IFERROR(IF('1. Raw Data'!J353="",AVERAGE(IF('1. Raw Data'!J3:J402&lt;&gt;"",'1. Raw Data'!J3:J402)),VALUE('1. Raw Data'!J353)),0)</f>
        <v>9.83</v>
      </c>
      <c r="N353" s="28">
        <f>'1. Raw Data'!K353</f>
        <v>24</v>
      </c>
      <c r="O353" s="29">
        <f t="shared" si="23"/>
        <v>477.70041709795629</v>
      </c>
      <c r="P353" s="28">
        <f>'1. Raw Data'!L353</f>
        <v>23</v>
      </c>
      <c r="Q353" s="27" t="str">
        <f>TRIM('1. Raw Data'!M353)</f>
        <v>Basic</v>
      </c>
    </row>
    <row r="354" spans="1:17" ht="16.5" customHeight="1" x14ac:dyDescent="0.45">
      <c r="A354" s="31" t="str">
        <f>'1. Raw Data'!A354</f>
        <v>TXN-100352</v>
      </c>
      <c r="B354" s="32">
        <f>IFERROR(DATEVALUE('1. Raw Data'!B354),"")</f>
        <v>45528</v>
      </c>
      <c r="C354" s="33" t="str">
        <f t="shared" si="20"/>
        <v>Aug</v>
      </c>
      <c r="D354" s="33" t="str">
        <f t="shared" si="21"/>
        <v>Q3</v>
      </c>
      <c r="E354" s="34">
        <f t="shared" si="22"/>
        <v>2024</v>
      </c>
      <c r="F354" s="31" t="str">
        <f>PROPER(TRIM('1. Raw Data'!C354))</f>
        <v>Eastgate</v>
      </c>
      <c r="G354" s="31" t="str">
        <f>TRIM('1. Raw Data'!D354)</f>
        <v>Business Loan</v>
      </c>
      <c r="H354" s="31" t="str">
        <f>TRIM('1. Raw Data'!E354)</f>
        <v>Loans</v>
      </c>
      <c r="I354" s="31" t="str">
        <f>TRIM('1. Raw Data'!F354)</f>
        <v>Maria Lopez</v>
      </c>
      <c r="J354" s="33" t="str">
        <f>PROPER(TRIM('1. Raw Data'!G354))</f>
        <v>Active</v>
      </c>
      <c r="K354" s="33" t="str">
        <f>TRIM('1. Raw Data'!H354)</f>
        <v>Low</v>
      </c>
      <c r="L354" s="35">
        <f>IFERROR(IF('1. Raw Data'!I354="",AVERAGE(IF('1. Raw Data'!I3:I402&lt;&gt;"",'1. Raw Data'!I3:I402)),VALUE('1. Raw Data'!I354)),0)</f>
        <v>154762.34</v>
      </c>
      <c r="M354" s="36">
        <f>IFERROR(IF('1. Raw Data'!J354="",AVERAGE(IF('1. Raw Data'!J3:J402&lt;&gt;"",'1. Raw Data'!J3:J402)),VALUE('1. Raw Data'!J354)),0)</f>
        <v>8.09</v>
      </c>
      <c r="N354" s="34">
        <f>'1. Raw Data'!K354</f>
        <v>180</v>
      </c>
      <c r="O354" s="35">
        <f t="shared" si="23"/>
        <v>1487.0417124409273</v>
      </c>
      <c r="P354" s="34">
        <f>'1. Raw Data'!L354</f>
        <v>51</v>
      </c>
      <c r="Q354" s="33" t="str">
        <f>TRIM('1. Raw Data'!M354)</f>
        <v>Premium</v>
      </c>
    </row>
    <row r="355" spans="1:17" ht="16.5" customHeight="1" x14ac:dyDescent="0.45">
      <c r="A355" s="25" t="str">
        <f>'1. Raw Data'!A355</f>
        <v>TXN-100353</v>
      </c>
      <c r="B355" s="26">
        <f>IFERROR(DATEVALUE('1. Raw Data'!B355),"")</f>
        <v>45404</v>
      </c>
      <c r="C355" s="27" t="str">
        <f t="shared" si="20"/>
        <v>Apr</v>
      </c>
      <c r="D355" s="27" t="str">
        <f t="shared" si="21"/>
        <v>Q2</v>
      </c>
      <c r="E355" s="28">
        <f t="shared" si="22"/>
        <v>2024</v>
      </c>
      <c r="F355" s="25" t="str">
        <f>PROPER(TRIM('1. Raw Data'!C355))</f>
        <v>Northpark</v>
      </c>
      <c r="G355" s="25" t="str">
        <f>TRIM('1. Raw Data'!D355)</f>
        <v>Savings Account</v>
      </c>
      <c r="H355" s="25" t="str">
        <f>TRIM('1. Raw Data'!E355)</f>
        <v>Deposits</v>
      </c>
      <c r="I355" s="25" t="str">
        <f>TRIM('1. Raw Data'!F355)</f>
        <v>Maria Lopez</v>
      </c>
      <c r="J355" s="27" t="str">
        <f>PROPER(TRIM('1. Raw Data'!G355))</f>
        <v>Active</v>
      </c>
      <c r="K355" s="27" t="str">
        <f>TRIM('1. Raw Data'!H355)</f>
        <v>Medium</v>
      </c>
      <c r="L355" s="29">
        <f>IFERROR(IF('1. Raw Data'!I355="",AVERAGE(IF('1. Raw Data'!I3:I402&lt;&gt;"",'1. Raw Data'!I3:I402)),VALUE('1. Raw Data'!I355)),0)</f>
        <v>80352.05</v>
      </c>
      <c r="M355" s="30">
        <f>IFERROR(IF('1. Raw Data'!J355="",AVERAGE(IF('1. Raw Data'!J3:J402&lt;&gt;"",'1. Raw Data'!J3:J402)),VALUE('1. Raw Data'!J355)),0)</f>
        <v>3.92</v>
      </c>
      <c r="N355" s="28">
        <f>'1. Raw Data'!K355</f>
        <v>360</v>
      </c>
      <c r="O355" s="29">
        <f t="shared" si="23"/>
        <v>379.91632950312732</v>
      </c>
      <c r="P355" s="28">
        <f>'1. Raw Data'!L355</f>
        <v>28</v>
      </c>
      <c r="Q355" s="27" t="str">
        <f>TRIM('1. Raw Data'!M355)</f>
        <v>Standard</v>
      </c>
    </row>
    <row r="356" spans="1:17" ht="16.5" customHeight="1" x14ac:dyDescent="0.45">
      <c r="A356" s="31" t="str">
        <f>'1. Raw Data'!A356</f>
        <v>TXN-100354</v>
      </c>
      <c r="B356" s="32">
        <f>IFERROR(DATEVALUE('1. Raw Data'!B356),"")</f>
        <v>45601</v>
      </c>
      <c r="C356" s="33" t="str">
        <f t="shared" si="20"/>
        <v>Nov</v>
      </c>
      <c r="D356" s="33" t="str">
        <f t="shared" si="21"/>
        <v>Q4</v>
      </c>
      <c r="E356" s="34">
        <f t="shared" si="22"/>
        <v>2024</v>
      </c>
      <c r="F356" s="31" t="str">
        <f>PROPER(TRIM('1. Raw Data'!C356))</f>
        <v>Northpark</v>
      </c>
      <c r="G356" s="31" t="str">
        <f>TRIM('1. Raw Data'!D356)</f>
        <v>Credit Card</v>
      </c>
      <c r="H356" s="31" t="str">
        <f>TRIM('1. Raw Data'!E356)</f>
        <v>Cards</v>
      </c>
      <c r="I356" s="31" t="str">
        <f>TRIM('1. Raw Data'!F356)</f>
        <v>Rachel Moore</v>
      </c>
      <c r="J356" s="33" t="str">
        <f>PROPER(TRIM('1. Raw Data'!G356))</f>
        <v>Active</v>
      </c>
      <c r="K356" s="33" t="str">
        <f>TRIM('1. Raw Data'!H356)</f>
        <v>Medium</v>
      </c>
      <c r="L356" s="35">
        <f>IFERROR(IF('1. Raw Data'!I356="",AVERAGE(IF('1. Raw Data'!I3:I402&lt;&gt;"",'1. Raw Data'!I3:I402)),VALUE('1. Raw Data'!I356)),0)</f>
        <v>190188.4</v>
      </c>
      <c r="M356" s="36">
        <f>IFERROR(IF('1. Raw Data'!J356="",AVERAGE(IF('1. Raw Data'!J3:J402&lt;&gt;"",'1. Raw Data'!J3:J402)),VALUE('1. Raw Data'!J356)),0)</f>
        <v>7.74</v>
      </c>
      <c r="N356" s="34">
        <f>'1. Raw Data'!K356</f>
        <v>48</v>
      </c>
      <c r="O356" s="35">
        <f t="shared" si="23"/>
        <v>4619.8781714960096</v>
      </c>
      <c r="P356" s="34">
        <f>'1. Raw Data'!L356</f>
        <v>44</v>
      </c>
      <c r="Q356" s="33" t="str">
        <f>TRIM('1. Raw Data'!M356)</f>
        <v>Premium</v>
      </c>
    </row>
    <row r="357" spans="1:17" ht="16.5" customHeight="1" x14ac:dyDescent="0.45">
      <c r="A357" s="25" t="str">
        <f>'1. Raw Data'!A357</f>
        <v>TXN-100355</v>
      </c>
      <c r="B357" s="26">
        <f>IFERROR(DATEVALUE('1. Raw Data'!B357),"")</f>
        <v>45640</v>
      </c>
      <c r="C357" s="27" t="str">
        <f t="shared" si="20"/>
        <v>Dec</v>
      </c>
      <c r="D357" s="27" t="str">
        <f t="shared" si="21"/>
        <v>Q4</v>
      </c>
      <c r="E357" s="28">
        <f t="shared" si="22"/>
        <v>2024</v>
      </c>
      <c r="F357" s="25" t="str">
        <f>PROPER(TRIM('1. Raw Data'!C357))</f>
        <v>Eastgate</v>
      </c>
      <c r="G357" s="25" t="str">
        <f>TRIM('1. Raw Data'!D357)</f>
        <v>Savings Account</v>
      </c>
      <c r="H357" s="25" t="str">
        <f>TRIM('1. Raw Data'!E357)</f>
        <v>Deposits</v>
      </c>
      <c r="I357" s="25" t="str">
        <f>TRIM('1. Raw Data'!F357)</f>
        <v>Maria Lopez</v>
      </c>
      <c r="J357" s="27" t="str">
        <f>PROPER(TRIM('1. Raw Data'!G357))</f>
        <v>Active</v>
      </c>
      <c r="K357" s="27" t="str">
        <f>TRIM('1. Raw Data'!H357)</f>
        <v>High</v>
      </c>
      <c r="L357" s="29">
        <f>IFERROR(IF('1. Raw Data'!I357="",AVERAGE(IF('1. Raw Data'!I3:I402&lt;&gt;"",'1. Raw Data'!I3:I402)),VALUE('1. Raw Data'!I357)),0)</f>
        <v>180266.17</v>
      </c>
      <c r="M357" s="30">
        <f>IFERROR(IF('1. Raw Data'!J357="",AVERAGE(IF('1. Raw Data'!J3:J402&lt;&gt;"",'1. Raw Data'!J3:J402)),VALUE('1. Raw Data'!J357)),0)</f>
        <v>2.54</v>
      </c>
      <c r="N357" s="28">
        <f>'1. Raw Data'!K357</f>
        <v>48</v>
      </c>
      <c r="O357" s="29">
        <f t="shared" si="23"/>
        <v>3953.5267248794685</v>
      </c>
      <c r="P357" s="28">
        <f>'1. Raw Data'!L357</f>
        <v>23</v>
      </c>
      <c r="Q357" s="27" t="str">
        <f>TRIM('1. Raw Data'!M357)</f>
        <v>Premium</v>
      </c>
    </row>
    <row r="358" spans="1:17" ht="16.5" customHeight="1" x14ac:dyDescent="0.45">
      <c r="A358" s="31" t="str">
        <f>'1. Raw Data'!A358</f>
        <v>TXN-100356</v>
      </c>
      <c r="B358" s="32">
        <f>IFERROR(DATEVALUE('1. Raw Data'!B358),"")</f>
        <v>45619</v>
      </c>
      <c r="C358" s="33" t="str">
        <f t="shared" si="20"/>
        <v>Nov</v>
      </c>
      <c r="D358" s="33" t="str">
        <f t="shared" si="21"/>
        <v>Q4</v>
      </c>
      <c r="E358" s="34">
        <f t="shared" si="22"/>
        <v>2024</v>
      </c>
      <c r="F358" s="31" t="str">
        <f>PROPER(TRIM('1. Raw Data'!C358))</f>
        <v>Northpark</v>
      </c>
      <c r="G358" s="31" t="str">
        <f>TRIM('1. Raw Data'!D358)</f>
        <v>Business Loan</v>
      </c>
      <c r="H358" s="31" t="str">
        <f>TRIM('1. Raw Data'!E358)</f>
        <v>Loans</v>
      </c>
      <c r="I358" s="31" t="str">
        <f>TRIM('1. Raw Data'!F358)</f>
        <v>David Kim</v>
      </c>
      <c r="J358" s="33" t="str">
        <f>PROPER(TRIM('1. Raw Data'!G358))</f>
        <v>Active</v>
      </c>
      <c r="K358" s="33" t="str">
        <f>TRIM('1. Raw Data'!H358)</f>
        <v>High</v>
      </c>
      <c r="L358" s="35">
        <f>IFERROR(IF('1. Raw Data'!I358="",AVERAGE(IF('1. Raw Data'!I3:I402&lt;&gt;"",'1. Raw Data'!I3:I402)),VALUE('1. Raw Data'!I358)),0)</f>
        <v>188609.83</v>
      </c>
      <c r="M358" s="36">
        <f>IFERROR(IF('1. Raw Data'!J358="",AVERAGE(IF('1. Raw Data'!J3:J402&lt;&gt;"",'1. Raw Data'!J3:J402)),VALUE('1. Raw Data'!J358)),0)</f>
        <v>8.0399999999999991</v>
      </c>
      <c r="N358" s="34">
        <f>'1. Raw Data'!K358</f>
        <v>60</v>
      </c>
      <c r="O358" s="35">
        <f t="shared" si="23"/>
        <v>3827.9389278456165</v>
      </c>
      <c r="P358" s="34">
        <f>'1. Raw Data'!L358</f>
        <v>26</v>
      </c>
      <c r="Q358" s="33" t="str">
        <f>TRIM('1. Raw Data'!M358)</f>
        <v>Premium</v>
      </c>
    </row>
    <row r="359" spans="1:17" ht="16.5" customHeight="1" x14ac:dyDescent="0.45">
      <c r="A359" s="25" t="str">
        <f>'1. Raw Data'!A359</f>
        <v>TXN-100357</v>
      </c>
      <c r="B359" s="26">
        <f>IFERROR(DATEVALUE('1. Raw Data'!B359),"")</f>
        <v>45396</v>
      </c>
      <c r="C359" s="27" t="str">
        <f t="shared" si="20"/>
        <v>Apr</v>
      </c>
      <c r="D359" s="27" t="str">
        <f t="shared" si="21"/>
        <v>Q2</v>
      </c>
      <c r="E359" s="28">
        <f t="shared" si="22"/>
        <v>2024</v>
      </c>
      <c r="F359" s="25" t="str">
        <f>PROPER(TRIM('1. Raw Data'!C359))</f>
        <v>Downtown</v>
      </c>
      <c r="G359" s="25" t="str">
        <f>TRIM('1. Raw Data'!D359)</f>
        <v>Mortgage</v>
      </c>
      <c r="H359" s="25" t="str">
        <f>TRIM('1. Raw Data'!E359)</f>
        <v>Loans</v>
      </c>
      <c r="I359" s="25" t="str">
        <f>TRIM('1. Raw Data'!F359)</f>
        <v>Maria Lopez</v>
      </c>
      <c r="J359" s="27" t="str">
        <f>PROPER(TRIM('1. Raw Data'!G359))</f>
        <v>Inactive</v>
      </c>
      <c r="K359" s="27" t="str">
        <f>TRIM('1. Raw Data'!H359)</f>
        <v>High</v>
      </c>
      <c r="L359" s="29">
        <f>IFERROR(IF('1. Raw Data'!I359="",AVERAGE(IF('1. Raw Data'!I3:I402&lt;&gt;"",'1. Raw Data'!I3:I402)),VALUE('1. Raw Data'!I359)),0)</f>
        <v>113997.39</v>
      </c>
      <c r="M359" s="30">
        <f>IFERROR(IF('1. Raw Data'!J359="",AVERAGE(IF('1. Raw Data'!J3:J402&lt;&gt;"",'1. Raw Data'!J3:J402)),VALUE('1. Raw Data'!J359)),0)</f>
        <v>7.73</v>
      </c>
      <c r="N359" s="28">
        <f>'1. Raw Data'!K359</f>
        <v>360</v>
      </c>
      <c r="O359" s="29">
        <f t="shared" si="23"/>
        <v>815.11630451621454</v>
      </c>
      <c r="P359" s="28">
        <f>'1. Raw Data'!L359</f>
        <v>48</v>
      </c>
      <c r="Q359" s="27" t="str">
        <f>TRIM('1. Raw Data'!M359)</f>
        <v>Premium</v>
      </c>
    </row>
    <row r="360" spans="1:17" ht="16.5" customHeight="1" x14ac:dyDescent="0.45">
      <c r="A360" s="31" t="str">
        <f>'1. Raw Data'!A360</f>
        <v>TXN-100358</v>
      </c>
      <c r="B360" s="32">
        <f>IFERROR(DATEVALUE('1. Raw Data'!B360),"")</f>
        <v>45645</v>
      </c>
      <c r="C360" s="33" t="str">
        <f t="shared" si="20"/>
        <v>Dec</v>
      </c>
      <c r="D360" s="33" t="str">
        <f t="shared" si="21"/>
        <v>Q4</v>
      </c>
      <c r="E360" s="34">
        <f t="shared" si="22"/>
        <v>2024</v>
      </c>
      <c r="F360" s="31" t="str">
        <f>PROPER(TRIM('1. Raw Data'!C360))</f>
        <v>Westside</v>
      </c>
      <c r="G360" s="31" t="str">
        <f>TRIM('1. Raw Data'!D360)</f>
        <v>Credit Card</v>
      </c>
      <c r="H360" s="31" t="str">
        <f>TRIM('1. Raw Data'!E360)</f>
        <v>Cards</v>
      </c>
      <c r="I360" s="31" t="str">
        <f>TRIM('1. Raw Data'!F360)</f>
        <v>Maria Lopez</v>
      </c>
      <c r="J360" s="33" t="str">
        <f>PROPER(TRIM('1. Raw Data'!G360))</f>
        <v>Active</v>
      </c>
      <c r="K360" s="33" t="str">
        <f>TRIM('1. Raw Data'!H360)</f>
        <v>High</v>
      </c>
      <c r="L360" s="35">
        <f>IFERROR(IF('1. Raw Data'!I360="",AVERAGE(IF('1. Raw Data'!I3:I402&lt;&gt;"",'1. Raw Data'!I3:I402)),VALUE('1. Raw Data'!I360)),0)</f>
        <v>69759.8</v>
      </c>
      <c r="M360" s="36">
        <f>IFERROR(IF('1. Raw Data'!J360="",AVERAGE(IF('1. Raw Data'!J3:J402&lt;&gt;"",'1. Raw Data'!J3:J402)),VALUE('1. Raw Data'!J360)),0)</f>
        <v>3.24</v>
      </c>
      <c r="N360" s="34">
        <f>'1. Raw Data'!K360</f>
        <v>36</v>
      </c>
      <c r="O360" s="35">
        <f t="shared" si="23"/>
        <v>2036.0861208038268</v>
      </c>
      <c r="P360" s="34">
        <f>'1. Raw Data'!L360</f>
        <v>33</v>
      </c>
      <c r="Q360" s="33" t="str">
        <f>TRIM('1. Raw Data'!M360)</f>
        <v>Standard</v>
      </c>
    </row>
    <row r="361" spans="1:17" ht="16.5" customHeight="1" x14ac:dyDescent="0.45">
      <c r="A361" s="25" t="str">
        <f>'1. Raw Data'!A361</f>
        <v>TXN-100359</v>
      </c>
      <c r="B361" s="26">
        <f>IFERROR(DATEVALUE('1. Raw Data'!B361),"")</f>
        <v>45614</v>
      </c>
      <c r="C361" s="27" t="str">
        <f t="shared" si="20"/>
        <v>Nov</v>
      </c>
      <c r="D361" s="27" t="str">
        <f t="shared" si="21"/>
        <v>Q4</v>
      </c>
      <c r="E361" s="28">
        <f t="shared" si="22"/>
        <v>2024</v>
      </c>
      <c r="F361" s="25" t="str">
        <f>PROPER(TRIM('1. Raw Data'!C361))</f>
        <v>Eastgate</v>
      </c>
      <c r="G361" s="25" t="str">
        <f>TRIM('1. Raw Data'!D361)</f>
        <v>Personal Loan</v>
      </c>
      <c r="H361" s="25" t="str">
        <f>TRIM('1. Raw Data'!E361)</f>
        <v>Loans</v>
      </c>
      <c r="I361" s="25" t="str">
        <f>TRIM('1. Raw Data'!F361)</f>
        <v>James Patel</v>
      </c>
      <c r="J361" s="27" t="str">
        <f>PROPER(TRIM('1. Raw Data'!G361))</f>
        <v>Active</v>
      </c>
      <c r="K361" s="27" t="str">
        <f>TRIM('1. Raw Data'!H361)</f>
        <v>Medium</v>
      </c>
      <c r="L361" s="29">
        <f>IFERROR(IF('1. Raw Data'!I361="",AVERAGE(IF('1. Raw Data'!I3:I402&lt;&gt;"",'1. Raw Data'!I3:I402)),VALUE('1. Raw Data'!I361)),0)</f>
        <v>174230.8</v>
      </c>
      <c r="M361" s="30">
        <f>IFERROR(IF('1. Raw Data'!J361="",AVERAGE(IF('1. Raw Data'!J3:J402&lt;&gt;"",'1. Raw Data'!J3:J402)),VALUE('1. Raw Data'!J361)),0)</f>
        <v>4.25</v>
      </c>
      <c r="N361" s="28">
        <f>'1. Raw Data'!K361</f>
        <v>180</v>
      </c>
      <c r="O361" s="29">
        <f t="shared" si="23"/>
        <v>1310.7006939029748</v>
      </c>
      <c r="P361" s="28">
        <f>'1. Raw Data'!L361</f>
        <v>63</v>
      </c>
      <c r="Q361" s="27" t="str">
        <f>TRIM('1. Raw Data'!M361)</f>
        <v>Premium</v>
      </c>
    </row>
    <row r="362" spans="1:17" ht="16.5" customHeight="1" x14ac:dyDescent="0.45">
      <c r="A362" s="31" t="str">
        <f>'1. Raw Data'!A362</f>
        <v>TXN-100360</v>
      </c>
      <c r="B362" s="32">
        <f>IFERROR(DATEVALUE('1. Raw Data'!B362),"")</f>
        <v>45574</v>
      </c>
      <c r="C362" s="33" t="str">
        <f t="shared" si="20"/>
        <v>Oct</v>
      </c>
      <c r="D362" s="33" t="str">
        <f t="shared" si="21"/>
        <v>Q4</v>
      </c>
      <c r="E362" s="34">
        <f t="shared" si="22"/>
        <v>2024</v>
      </c>
      <c r="F362" s="31" t="str">
        <f>PROPER(TRIM('1. Raw Data'!C362))</f>
        <v>Westside</v>
      </c>
      <c r="G362" s="31" t="str">
        <f>TRIM('1. Raw Data'!D362)</f>
        <v>Savings Account</v>
      </c>
      <c r="H362" s="31" t="str">
        <f>TRIM('1. Raw Data'!E362)</f>
        <v>Deposits</v>
      </c>
      <c r="I362" s="31" t="str">
        <f>TRIM('1. Raw Data'!F362)</f>
        <v>Maria Lopez</v>
      </c>
      <c r="J362" s="33" t="str">
        <f>PROPER(TRIM('1. Raw Data'!G362))</f>
        <v>Active</v>
      </c>
      <c r="K362" s="33" t="str">
        <f>TRIM('1. Raw Data'!H362)</f>
        <v>Low</v>
      </c>
      <c r="L362" s="35">
        <f>IFERROR(IF('1. Raw Data'!I362="",AVERAGE(IF('1. Raw Data'!I3:I402&lt;&gt;"",'1. Raw Data'!I3:I402)),VALUE('1. Raw Data'!I362)),0)</f>
        <v>97668.51</v>
      </c>
      <c r="M362" s="36">
        <f>IFERROR(IF('1. Raw Data'!J362="",AVERAGE(IF('1. Raw Data'!J3:J402&lt;&gt;"",'1. Raw Data'!J3:J402)),VALUE('1. Raw Data'!J362)),0)</f>
        <v>6.54</v>
      </c>
      <c r="N362" s="34">
        <f>'1. Raw Data'!K362</f>
        <v>48</v>
      </c>
      <c r="O362" s="35">
        <f t="shared" si="23"/>
        <v>2318.0063973936362</v>
      </c>
      <c r="P362" s="34">
        <f>'1. Raw Data'!L362</f>
        <v>26</v>
      </c>
      <c r="Q362" s="33" t="str">
        <f>TRIM('1. Raw Data'!M362)</f>
        <v>Standard</v>
      </c>
    </row>
    <row r="363" spans="1:17" ht="16.5" customHeight="1" x14ac:dyDescent="0.45">
      <c r="A363" s="25" t="str">
        <f>'1. Raw Data'!A363</f>
        <v>TXN-100361</v>
      </c>
      <c r="B363" s="26">
        <f>IFERROR(DATEVALUE('1. Raw Data'!B363),"")</f>
        <v>45454</v>
      </c>
      <c r="C363" s="27" t="str">
        <f t="shared" si="20"/>
        <v>Jun</v>
      </c>
      <c r="D363" s="27" t="str">
        <f t="shared" si="21"/>
        <v>Q2</v>
      </c>
      <c r="E363" s="28">
        <f t="shared" si="22"/>
        <v>2024</v>
      </c>
      <c r="F363" s="25" t="str">
        <f>PROPER(TRIM('1. Raw Data'!C363))</f>
        <v>Northpark</v>
      </c>
      <c r="G363" s="25" t="str">
        <f>TRIM('1. Raw Data'!D363)</f>
        <v>Fixed Deposit</v>
      </c>
      <c r="H363" s="25" t="str">
        <f>TRIM('1. Raw Data'!E363)</f>
        <v>Deposits</v>
      </c>
      <c r="I363" s="25" t="str">
        <f>TRIM('1. Raw Data'!F363)</f>
        <v>Rachel Moore</v>
      </c>
      <c r="J363" s="27" t="str">
        <f>PROPER(TRIM('1. Raw Data'!G363))</f>
        <v>Active</v>
      </c>
      <c r="K363" s="27" t="str">
        <f>TRIM('1. Raw Data'!H363)</f>
        <v>Medium</v>
      </c>
      <c r="L363" s="29">
        <f>IFERROR(IF('1. Raw Data'!I363="",AVERAGE(IF('1. Raw Data'!I3:I402&lt;&gt;"",'1. Raw Data'!I3:I402)),VALUE('1. Raw Data'!I363)),0)</f>
        <v>169715.39</v>
      </c>
      <c r="M363" s="30">
        <f>IFERROR(IF('1. Raw Data'!J363="",AVERAGE(IF('1. Raw Data'!J3:J402&lt;&gt;"",'1. Raw Data'!J3:J402)),VALUE('1. Raw Data'!J363)),0)</f>
        <v>2.6</v>
      </c>
      <c r="N363" s="28">
        <f>'1. Raw Data'!K363</f>
        <v>360</v>
      </c>
      <c r="O363" s="29">
        <f t="shared" si="23"/>
        <v>679.43810275881879</v>
      </c>
      <c r="P363" s="28">
        <f>'1. Raw Data'!L363</f>
        <v>50</v>
      </c>
      <c r="Q363" s="27" t="str">
        <f>TRIM('1. Raw Data'!M363)</f>
        <v>Premium</v>
      </c>
    </row>
    <row r="364" spans="1:17" ht="16.5" customHeight="1" x14ac:dyDescent="0.45">
      <c r="A364" s="31" t="str">
        <f>'1. Raw Data'!A364</f>
        <v>TXN-100362</v>
      </c>
      <c r="B364" s="32">
        <f>IFERROR(DATEVALUE('1. Raw Data'!B364),"")</f>
        <v>45604</v>
      </c>
      <c r="C364" s="33" t="str">
        <f t="shared" si="20"/>
        <v>Nov</v>
      </c>
      <c r="D364" s="33" t="str">
        <f t="shared" si="21"/>
        <v>Q4</v>
      </c>
      <c r="E364" s="34">
        <f t="shared" si="22"/>
        <v>2024</v>
      </c>
      <c r="F364" s="31" t="str">
        <f>PROPER(TRIM('1. Raw Data'!C364))</f>
        <v>Eastgate</v>
      </c>
      <c r="G364" s="31" t="str">
        <f>TRIM('1. Raw Data'!D364)</f>
        <v>Savings Account</v>
      </c>
      <c r="H364" s="31" t="str">
        <f>TRIM('1. Raw Data'!E364)</f>
        <v>Deposits</v>
      </c>
      <c r="I364" s="31" t="str">
        <f>TRIM('1. Raw Data'!F364)</f>
        <v>Maria Lopez</v>
      </c>
      <c r="J364" s="33" t="str">
        <f>PROPER(TRIM('1. Raw Data'!G364))</f>
        <v>Active</v>
      </c>
      <c r="K364" s="33" t="str">
        <f>TRIM('1. Raw Data'!H364)</f>
        <v>Low</v>
      </c>
      <c r="L364" s="35">
        <f>IFERROR(IF('1. Raw Data'!I364="",AVERAGE(IF('1. Raw Data'!I3:I402&lt;&gt;"",'1. Raw Data'!I3:I402)),VALUE('1. Raw Data'!I364)),0)</f>
        <v>65292.27</v>
      </c>
      <c r="M364" s="36">
        <f>IFERROR(IF('1. Raw Data'!J364="",AVERAGE(IF('1. Raw Data'!J3:J402&lt;&gt;"",'1. Raw Data'!J3:J402)),VALUE('1. Raw Data'!J364)),0)</f>
        <v>10.95</v>
      </c>
      <c r="N364" s="34">
        <f>'1. Raw Data'!K364</f>
        <v>24</v>
      </c>
      <c r="O364" s="35">
        <f t="shared" si="23"/>
        <v>3041.6161029880686</v>
      </c>
      <c r="P364" s="34">
        <f>'1. Raw Data'!L364</f>
        <v>35</v>
      </c>
      <c r="Q364" s="33" t="str">
        <f>TRIM('1. Raw Data'!M364)</f>
        <v>Standard</v>
      </c>
    </row>
    <row r="365" spans="1:17" ht="16.5" customHeight="1" x14ac:dyDescent="0.45">
      <c r="A365" s="25" t="str">
        <f>'1. Raw Data'!A365</f>
        <v>TXN-100363</v>
      </c>
      <c r="B365" s="26">
        <f>IFERROR(DATEVALUE('1. Raw Data'!B365),"")</f>
        <v>45346</v>
      </c>
      <c r="C365" s="27" t="str">
        <f t="shared" si="20"/>
        <v>Feb</v>
      </c>
      <c r="D365" s="27" t="str">
        <f t="shared" si="21"/>
        <v>Q1</v>
      </c>
      <c r="E365" s="28">
        <f t="shared" si="22"/>
        <v>2024</v>
      </c>
      <c r="F365" s="25" t="str">
        <f>PROPER(TRIM('1. Raw Data'!C365))</f>
        <v>Uptown</v>
      </c>
      <c r="G365" s="25" t="str">
        <f>TRIM('1. Raw Data'!D365)</f>
        <v>Fixed Deposit</v>
      </c>
      <c r="H365" s="25" t="str">
        <f>TRIM('1. Raw Data'!E365)</f>
        <v>Deposits</v>
      </c>
      <c r="I365" s="25" t="str">
        <f>TRIM('1. Raw Data'!F365)</f>
        <v>Rachel Moore</v>
      </c>
      <c r="J365" s="27" t="str">
        <f>PROPER(TRIM('1. Raw Data'!G365))</f>
        <v>Inactive</v>
      </c>
      <c r="K365" s="27" t="str">
        <f>TRIM('1. Raw Data'!H365)</f>
        <v>Low</v>
      </c>
      <c r="L365" s="29">
        <f>IFERROR(IF('1. Raw Data'!I365="",AVERAGE(IF('1. Raw Data'!I3:I402&lt;&gt;"",'1. Raw Data'!I3:I402)),VALUE('1. Raw Data'!I365)),0)</f>
        <v>154031.34</v>
      </c>
      <c r="M365" s="30">
        <f>IFERROR(IF('1. Raw Data'!J365="",AVERAGE(IF('1. Raw Data'!J3:J402&lt;&gt;"",'1. Raw Data'!J3:J402)),VALUE('1. Raw Data'!J365)),0)</f>
        <v>10.92</v>
      </c>
      <c r="N365" s="28">
        <f>'1. Raw Data'!K365</f>
        <v>180</v>
      </c>
      <c r="O365" s="29">
        <f t="shared" si="23"/>
        <v>1742.985485616367</v>
      </c>
      <c r="P365" s="28">
        <f>'1. Raw Data'!L365</f>
        <v>27</v>
      </c>
      <c r="Q365" s="27" t="str">
        <f>TRIM('1. Raw Data'!M365)</f>
        <v>Premium</v>
      </c>
    </row>
    <row r="366" spans="1:17" ht="16.5" customHeight="1" x14ac:dyDescent="0.45">
      <c r="A366" s="31" t="str">
        <f>'1. Raw Data'!A366</f>
        <v>TXN-100364</v>
      </c>
      <c r="B366" s="32">
        <f>IFERROR(DATEVALUE('1. Raw Data'!B366),"")</f>
        <v>45402</v>
      </c>
      <c r="C366" s="33" t="str">
        <f t="shared" si="20"/>
        <v>Apr</v>
      </c>
      <c r="D366" s="33" t="str">
        <f t="shared" si="21"/>
        <v>Q2</v>
      </c>
      <c r="E366" s="34">
        <f t="shared" si="22"/>
        <v>2024</v>
      </c>
      <c r="F366" s="31" t="str">
        <f>PROPER(TRIM('1. Raw Data'!C366))</f>
        <v>Downtown</v>
      </c>
      <c r="G366" s="31" t="str">
        <f>TRIM('1. Raw Data'!D366)</f>
        <v>Savings Account</v>
      </c>
      <c r="H366" s="31" t="str">
        <f>TRIM('1. Raw Data'!E366)</f>
        <v>Deposits</v>
      </c>
      <c r="I366" s="31" t="str">
        <f>TRIM('1. Raw Data'!F366)</f>
        <v>David Kim</v>
      </c>
      <c r="J366" s="33" t="str">
        <f>PROPER(TRIM('1. Raw Data'!G366))</f>
        <v>Active</v>
      </c>
      <c r="K366" s="33" t="str">
        <f>TRIM('1. Raw Data'!H366)</f>
        <v>Medium</v>
      </c>
      <c r="L366" s="35">
        <f>IFERROR(IF('1. Raw Data'!I366="",AVERAGE(IF('1. Raw Data'!I3:I402&lt;&gt;"",'1. Raw Data'!I3:I402)),VALUE('1. Raw Data'!I366)),0)</f>
        <v>165560.38</v>
      </c>
      <c r="M366" s="36">
        <f>IFERROR(IF('1. Raw Data'!J366="",AVERAGE(IF('1. Raw Data'!J3:J402&lt;&gt;"",'1. Raw Data'!J3:J402)),VALUE('1. Raw Data'!J366)),0)</f>
        <v>2.68</v>
      </c>
      <c r="N366" s="34">
        <f>'1. Raw Data'!K366</f>
        <v>36</v>
      </c>
      <c r="O366" s="35">
        <f t="shared" si="23"/>
        <v>4791.3830373731762</v>
      </c>
      <c r="P366" s="34">
        <f>'1. Raw Data'!L366</f>
        <v>69</v>
      </c>
      <c r="Q366" s="33" t="str">
        <f>TRIM('1. Raw Data'!M366)</f>
        <v>Premium</v>
      </c>
    </row>
    <row r="367" spans="1:17" ht="16.5" customHeight="1" x14ac:dyDescent="0.45">
      <c r="A367" s="25" t="str">
        <f>'1. Raw Data'!A367</f>
        <v>TXN-100365</v>
      </c>
      <c r="B367" s="26">
        <f>IFERROR(DATEVALUE('1. Raw Data'!B367),"")</f>
        <v>45348</v>
      </c>
      <c r="C367" s="27" t="str">
        <f t="shared" si="20"/>
        <v>Feb</v>
      </c>
      <c r="D367" s="27" t="str">
        <f t="shared" si="21"/>
        <v>Q1</v>
      </c>
      <c r="E367" s="28">
        <f t="shared" si="22"/>
        <v>2024</v>
      </c>
      <c r="F367" s="25" t="str">
        <f>PROPER(TRIM('1. Raw Data'!C367))</f>
        <v>Northpark</v>
      </c>
      <c r="G367" s="25" t="str">
        <f>TRIM('1. Raw Data'!D367)</f>
        <v>Personal Loan</v>
      </c>
      <c r="H367" s="25" t="str">
        <f>TRIM('1. Raw Data'!E367)</f>
        <v>Loans</v>
      </c>
      <c r="I367" s="25" t="str">
        <f>TRIM('1. Raw Data'!F367)</f>
        <v>Rachel Moore</v>
      </c>
      <c r="J367" s="27" t="str">
        <f>PROPER(TRIM('1. Raw Data'!G367))</f>
        <v>Active</v>
      </c>
      <c r="K367" s="27" t="str">
        <f>TRIM('1. Raw Data'!H367)</f>
        <v>Low</v>
      </c>
      <c r="L367" s="29">
        <f>IFERROR(IF('1. Raw Data'!I367="",AVERAGE(IF('1. Raw Data'!I3:I402&lt;&gt;"",'1. Raw Data'!I3:I402)),VALUE('1. Raw Data'!I367)),0)</f>
        <v>175899.56</v>
      </c>
      <c r="M367" s="30">
        <f>IFERROR(IF('1. Raw Data'!J367="",AVERAGE(IF('1. Raw Data'!J3:J402&lt;&gt;"",'1. Raw Data'!J3:J402)),VALUE('1. Raw Data'!J367)),0)</f>
        <v>9.33</v>
      </c>
      <c r="N367" s="28">
        <f>'1. Raw Data'!K367</f>
        <v>48</v>
      </c>
      <c r="O367" s="29">
        <f t="shared" si="23"/>
        <v>4404.8825369612314</v>
      </c>
      <c r="P367" s="28">
        <f>'1. Raw Data'!L367</f>
        <v>54</v>
      </c>
      <c r="Q367" s="27" t="str">
        <f>TRIM('1. Raw Data'!M367)</f>
        <v>Premium</v>
      </c>
    </row>
    <row r="368" spans="1:17" ht="16.5" customHeight="1" x14ac:dyDescent="0.45">
      <c r="A368" s="31" t="str">
        <f>'1. Raw Data'!A368</f>
        <v>TXN-100366</v>
      </c>
      <c r="B368" s="32">
        <f>IFERROR(DATEVALUE('1. Raw Data'!B368),"")</f>
        <v>45623</v>
      </c>
      <c r="C368" s="33" t="str">
        <f t="shared" si="20"/>
        <v>Nov</v>
      </c>
      <c r="D368" s="33" t="str">
        <f t="shared" si="21"/>
        <v>Q4</v>
      </c>
      <c r="E368" s="34">
        <f t="shared" si="22"/>
        <v>2024</v>
      </c>
      <c r="F368" s="31" t="str">
        <f>PROPER(TRIM('1. Raw Data'!C368))</f>
        <v>Westside</v>
      </c>
      <c r="G368" s="31" t="str">
        <f>TRIM('1. Raw Data'!D368)</f>
        <v>Auto Loan</v>
      </c>
      <c r="H368" s="31" t="str">
        <f>TRIM('1. Raw Data'!E368)</f>
        <v>Loans</v>
      </c>
      <c r="I368" s="31" t="str">
        <f>TRIM('1. Raw Data'!F368)</f>
        <v>Sarah Chen</v>
      </c>
      <c r="J368" s="33" t="str">
        <f>PROPER(TRIM('1. Raw Data'!G368))</f>
        <v>Active</v>
      </c>
      <c r="K368" s="33" t="str">
        <f>TRIM('1. Raw Data'!H368)</f>
        <v>Low</v>
      </c>
      <c r="L368" s="35">
        <f>IFERROR(IF('1. Raw Data'!I368="",AVERAGE(IF('1. Raw Data'!I3:I402&lt;&gt;"",'1. Raw Data'!I3:I402)),VALUE('1. Raw Data'!I368)),0)</f>
        <v>0</v>
      </c>
      <c r="M368" s="36">
        <f>IFERROR(IF('1. Raw Data'!J368="",AVERAGE(IF('1. Raw Data'!J3:J402&lt;&gt;"",'1. Raw Data'!J3:J402)),VALUE('1. Raw Data'!J368)),0)</f>
        <v>3.06</v>
      </c>
      <c r="N368" s="34">
        <f>'1. Raw Data'!K368</f>
        <v>48</v>
      </c>
      <c r="O368" s="35">
        <f t="shared" si="23"/>
        <v>0</v>
      </c>
      <c r="P368" s="34">
        <f>'1. Raw Data'!L368</f>
        <v>50</v>
      </c>
      <c r="Q368" s="33" t="str">
        <f>TRIM('1. Raw Data'!M368)</f>
        <v>Premium</v>
      </c>
    </row>
    <row r="369" spans="1:17" ht="16.5" customHeight="1" x14ac:dyDescent="0.45">
      <c r="A369" s="25" t="str">
        <f>'1. Raw Data'!A369</f>
        <v>TXN-100367</v>
      </c>
      <c r="B369" s="26">
        <f>IFERROR(DATEVALUE('1. Raw Data'!B369),"")</f>
        <v>45526</v>
      </c>
      <c r="C369" s="27" t="str">
        <f t="shared" si="20"/>
        <v>Aug</v>
      </c>
      <c r="D369" s="27" t="str">
        <f t="shared" si="21"/>
        <v>Q3</v>
      </c>
      <c r="E369" s="28">
        <f t="shared" si="22"/>
        <v>2024</v>
      </c>
      <c r="F369" s="25" t="str">
        <f>PROPER(TRIM('1. Raw Data'!C369))</f>
        <v>Westside</v>
      </c>
      <c r="G369" s="25" t="str">
        <f>TRIM('1. Raw Data'!D369)</f>
        <v>Auto Loan</v>
      </c>
      <c r="H369" s="25" t="str">
        <f>TRIM('1. Raw Data'!E369)</f>
        <v>Loans</v>
      </c>
      <c r="I369" s="25" t="str">
        <f>TRIM('1. Raw Data'!F369)</f>
        <v>David Kim</v>
      </c>
      <c r="J369" s="27" t="str">
        <f>PROPER(TRIM('1. Raw Data'!G369))</f>
        <v>Pending</v>
      </c>
      <c r="K369" s="27" t="str">
        <f>TRIM('1. Raw Data'!H369)</f>
        <v>High</v>
      </c>
      <c r="L369" s="29">
        <f>IFERROR(IF('1. Raw Data'!I369="",AVERAGE(IF('1. Raw Data'!I3:I402&lt;&gt;"",'1. Raw Data'!I3:I402)),VALUE('1. Raw Data'!I369)),0)</f>
        <v>137507.37</v>
      </c>
      <c r="M369" s="30">
        <f>IFERROR(IF('1. Raw Data'!J369="",AVERAGE(IF('1. Raw Data'!J3:J402&lt;&gt;"",'1. Raw Data'!J3:J402)),VALUE('1. Raw Data'!J369)),0)</f>
        <v>12.52</v>
      </c>
      <c r="N369" s="28">
        <f>'1. Raw Data'!K369</f>
        <v>60</v>
      </c>
      <c r="O369" s="29">
        <f t="shared" si="23"/>
        <v>3095.0312969178458</v>
      </c>
      <c r="P369" s="28">
        <f>'1. Raw Data'!L369</f>
        <v>66</v>
      </c>
      <c r="Q369" s="27" t="str">
        <f>TRIM('1. Raw Data'!M369)</f>
        <v>Premium</v>
      </c>
    </row>
    <row r="370" spans="1:17" ht="16.5" customHeight="1" x14ac:dyDescent="0.45">
      <c r="A370" s="31" t="str">
        <f>'1. Raw Data'!A370</f>
        <v>TXN-100368</v>
      </c>
      <c r="B370" s="32">
        <f>IFERROR(DATEVALUE('1. Raw Data'!B370),"")</f>
        <v>45389</v>
      </c>
      <c r="C370" s="33" t="str">
        <f t="shared" si="20"/>
        <v>Apr</v>
      </c>
      <c r="D370" s="33" t="str">
        <f t="shared" si="21"/>
        <v>Q2</v>
      </c>
      <c r="E370" s="34">
        <f t="shared" si="22"/>
        <v>2024</v>
      </c>
      <c r="F370" s="31" t="str">
        <f>PROPER(TRIM('1. Raw Data'!C370))</f>
        <v>Downtown</v>
      </c>
      <c r="G370" s="31" t="str">
        <f>TRIM('1. Raw Data'!D370)</f>
        <v>Savings Account</v>
      </c>
      <c r="H370" s="31" t="str">
        <f>TRIM('1. Raw Data'!E370)</f>
        <v>Deposits</v>
      </c>
      <c r="I370" s="31" t="str">
        <f>TRIM('1. Raw Data'!F370)</f>
        <v>David Kim</v>
      </c>
      <c r="J370" s="33" t="str">
        <f>PROPER(TRIM('1. Raw Data'!G370))</f>
        <v>Active</v>
      </c>
      <c r="K370" s="33" t="str">
        <f>TRIM('1. Raw Data'!H370)</f>
        <v>Low</v>
      </c>
      <c r="L370" s="35">
        <f>IFERROR(IF('1. Raw Data'!I370="",AVERAGE(IF('1. Raw Data'!I3:I402&lt;&gt;"",'1. Raw Data'!I3:I402)),VALUE('1. Raw Data'!I370)),0)</f>
        <v>20234.939999999999</v>
      </c>
      <c r="M370" s="36">
        <f>IFERROR(IF('1. Raw Data'!J370="",AVERAGE(IF('1. Raw Data'!J3:J402&lt;&gt;"",'1. Raw Data'!J3:J402)),VALUE('1. Raw Data'!J370)),0)</f>
        <v>4.18</v>
      </c>
      <c r="N370" s="34">
        <f>'1. Raw Data'!K370</f>
        <v>48</v>
      </c>
      <c r="O370" s="35">
        <f t="shared" si="23"/>
        <v>458.51749431604901</v>
      </c>
      <c r="P370" s="34">
        <f>'1. Raw Data'!L370</f>
        <v>51</v>
      </c>
      <c r="Q370" s="33" t="str">
        <f>TRIM('1. Raw Data'!M370)</f>
        <v>Basic</v>
      </c>
    </row>
    <row r="371" spans="1:17" ht="16.5" customHeight="1" x14ac:dyDescent="0.45">
      <c r="A371" s="25" t="str">
        <f>'1. Raw Data'!A371</f>
        <v>TXN-100369</v>
      </c>
      <c r="B371" s="26">
        <f>IFERROR(DATEVALUE('1. Raw Data'!B371),"")</f>
        <v>45400</v>
      </c>
      <c r="C371" s="27" t="str">
        <f t="shared" si="20"/>
        <v>Apr</v>
      </c>
      <c r="D371" s="27" t="str">
        <f t="shared" si="21"/>
        <v>Q2</v>
      </c>
      <c r="E371" s="28">
        <f t="shared" si="22"/>
        <v>2024</v>
      </c>
      <c r="F371" s="25" t="str">
        <f>PROPER(TRIM('1. Raw Data'!C371))</f>
        <v>Downtown</v>
      </c>
      <c r="G371" s="25" t="str">
        <f>TRIM('1. Raw Data'!D371)</f>
        <v>Checking Account</v>
      </c>
      <c r="H371" s="25" t="str">
        <f>TRIM('1. Raw Data'!E371)</f>
        <v>Deposits</v>
      </c>
      <c r="I371" s="25" t="str">
        <f>TRIM('1. Raw Data'!F371)</f>
        <v>Rachel Moore</v>
      </c>
      <c r="J371" s="27" t="str">
        <f>PROPER(TRIM('1. Raw Data'!G371))</f>
        <v>Active</v>
      </c>
      <c r="K371" s="27" t="str">
        <f>TRIM('1. Raw Data'!H371)</f>
        <v>Medium</v>
      </c>
      <c r="L371" s="29">
        <f>IFERROR(IF('1. Raw Data'!I371="",AVERAGE(IF('1. Raw Data'!I3:I402&lt;&gt;"",'1. Raw Data'!I3:I402)),VALUE('1. Raw Data'!I371)),0)</f>
        <v>102643.35</v>
      </c>
      <c r="M371" s="30">
        <f>IFERROR(IF('1. Raw Data'!J371="",AVERAGE(IF('1. Raw Data'!J3:J402&lt;&gt;"",'1. Raw Data'!J3:J402)),VALUE('1. Raw Data'!J371)),0)</f>
        <v>6.96</v>
      </c>
      <c r="N371" s="28">
        <f>'1. Raw Data'!K371</f>
        <v>360</v>
      </c>
      <c r="O371" s="29">
        <f t="shared" si="23"/>
        <v>680.1336005140173</v>
      </c>
      <c r="P371" s="28">
        <f>'1. Raw Data'!L371</f>
        <v>66</v>
      </c>
      <c r="Q371" s="27" t="str">
        <f>TRIM('1. Raw Data'!M371)</f>
        <v>Premium</v>
      </c>
    </row>
    <row r="372" spans="1:17" ht="16.5" customHeight="1" x14ac:dyDescent="0.45">
      <c r="A372" s="31" t="str">
        <f>'1. Raw Data'!A372</f>
        <v>TXN-100370</v>
      </c>
      <c r="B372" s="32">
        <f>IFERROR(DATEVALUE('1. Raw Data'!B372),"")</f>
        <v>45429</v>
      </c>
      <c r="C372" s="33" t="str">
        <f t="shared" si="20"/>
        <v>May</v>
      </c>
      <c r="D372" s="33" t="str">
        <f t="shared" si="21"/>
        <v>Q2</v>
      </c>
      <c r="E372" s="34">
        <f t="shared" si="22"/>
        <v>2024</v>
      </c>
      <c r="F372" s="31" t="str">
        <f>PROPER(TRIM('1. Raw Data'!C372))</f>
        <v>Eastgate</v>
      </c>
      <c r="G372" s="31" t="str">
        <f>TRIM('1. Raw Data'!D372)</f>
        <v>Personal Loan</v>
      </c>
      <c r="H372" s="31" t="str">
        <f>TRIM('1. Raw Data'!E372)</f>
        <v>Loans</v>
      </c>
      <c r="I372" s="31" t="str">
        <f>TRIM('1. Raw Data'!F372)</f>
        <v>David Kim</v>
      </c>
      <c r="J372" s="33" t="str">
        <f>PROPER(TRIM('1. Raw Data'!G372))</f>
        <v>Pending</v>
      </c>
      <c r="K372" s="33" t="str">
        <f>TRIM('1. Raw Data'!H372)</f>
        <v>Medium</v>
      </c>
      <c r="L372" s="35">
        <f>IFERROR(IF('1. Raw Data'!I372="",AVERAGE(IF('1. Raw Data'!I3:I402&lt;&gt;"",'1. Raw Data'!I3:I402)),VALUE('1. Raw Data'!I372)),0)</f>
        <v>136074.25</v>
      </c>
      <c r="M372" s="36">
        <f>IFERROR(IF('1. Raw Data'!J372="",AVERAGE(IF('1. Raw Data'!J3:J402&lt;&gt;"",'1. Raw Data'!J3:J402)),VALUE('1. Raw Data'!J372)),0)</f>
        <v>6.99</v>
      </c>
      <c r="N372" s="34">
        <f>'1. Raw Data'!K372</f>
        <v>48</v>
      </c>
      <c r="O372" s="35">
        <f t="shared" si="23"/>
        <v>3257.8360037165507</v>
      </c>
      <c r="P372" s="34">
        <f>'1. Raw Data'!L372</f>
        <v>35</v>
      </c>
      <c r="Q372" s="33" t="str">
        <f>TRIM('1. Raw Data'!M372)</f>
        <v>Premium</v>
      </c>
    </row>
    <row r="373" spans="1:17" ht="16.5" customHeight="1" x14ac:dyDescent="0.45">
      <c r="A373" s="25" t="str">
        <f>'1. Raw Data'!A373</f>
        <v>TXN-100371</v>
      </c>
      <c r="B373" s="26">
        <f>IFERROR(DATEVALUE('1. Raw Data'!B373),"")</f>
        <v>45539</v>
      </c>
      <c r="C373" s="27" t="str">
        <f t="shared" si="20"/>
        <v>Sep</v>
      </c>
      <c r="D373" s="27" t="str">
        <f t="shared" si="21"/>
        <v>Q3</v>
      </c>
      <c r="E373" s="28">
        <f t="shared" si="22"/>
        <v>2024</v>
      </c>
      <c r="F373" s="25" t="str">
        <f>PROPER(TRIM('1. Raw Data'!C373))</f>
        <v>Eastgate</v>
      </c>
      <c r="G373" s="25" t="str">
        <f>TRIM('1. Raw Data'!D373)</f>
        <v>Checking Account</v>
      </c>
      <c r="H373" s="25" t="str">
        <f>TRIM('1. Raw Data'!E373)</f>
        <v>Deposits</v>
      </c>
      <c r="I373" s="25" t="str">
        <f>TRIM('1. Raw Data'!F373)</f>
        <v>James Patel</v>
      </c>
      <c r="J373" s="27" t="str">
        <f>PROPER(TRIM('1. Raw Data'!G373))</f>
        <v>Active</v>
      </c>
      <c r="K373" s="27" t="str">
        <f>TRIM('1. Raw Data'!H373)</f>
        <v>Low</v>
      </c>
      <c r="L373" s="29">
        <f>IFERROR(IF('1. Raw Data'!I373="",AVERAGE(IF('1. Raw Data'!I3:I402&lt;&gt;"",'1. Raw Data'!I3:I402)),VALUE('1. Raw Data'!I373)),0)</f>
        <v>94827.86</v>
      </c>
      <c r="M373" s="30">
        <f>IFERROR(IF('1. Raw Data'!J373="",AVERAGE(IF('1. Raw Data'!J3:J402&lt;&gt;"",'1. Raw Data'!J3:J402)),VALUE('1. Raw Data'!J373)),0)</f>
        <v>13.55</v>
      </c>
      <c r="N373" s="28">
        <f>'1. Raw Data'!K373</f>
        <v>48</v>
      </c>
      <c r="O373" s="29">
        <f t="shared" si="23"/>
        <v>2569.9562600913655</v>
      </c>
      <c r="P373" s="28">
        <f>'1. Raw Data'!L373</f>
        <v>71</v>
      </c>
      <c r="Q373" s="27" t="str">
        <f>TRIM('1. Raw Data'!M373)</f>
        <v>Standard</v>
      </c>
    </row>
    <row r="374" spans="1:17" ht="16.5" customHeight="1" x14ac:dyDescent="0.45">
      <c r="A374" s="31" t="str">
        <f>'1. Raw Data'!A374</f>
        <v>TXN-100372</v>
      </c>
      <c r="B374" s="32">
        <f>IFERROR(DATEVALUE('1. Raw Data'!B374),"")</f>
        <v>45540</v>
      </c>
      <c r="C374" s="33" t="str">
        <f t="shared" si="20"/>
        <v>Sep</v>
      </c>
      <c r="D374" s="33" t="str">
        <f t="shared" si="21"/>
        <v>Q3</v>
      </c>
      <c r="E374" s="34">
        <f t="shared" si="22"/>
        <v>2024</v>
      </c>
      <c r="F374" s="31" t="str">
        <f>PROPER(TRIM('1. Raw Data'!C374))</f>
        <v>Northpark</v>
      </c>
      <c r="G374" s="31" t="str">
        <f>TRIM('1. Raw Data'!D374)</f>
        <v>Auto Loan</v>
      </c>
      <c r="H374" s="31" t="str">
        <f>TRIM('1. Raw Data'!E374)</f>
        <v>Loans</v>
      </c>
      <c r="I374" s="31" t="str">
        <f>TRIM('1. Raw Data'!F374)</f>
        <v>James Patel</v>
      </c>
      <c r="J374" s="33" t="str">
        <f>PROPER(TRIM('1. Raw Data'!G374))</f>
        <v>Pending</v>
      </c>
      <c r="K374" s="33" t="str">
        <f>TRIM('1. Raw Data'!H374)</f>
        <v>Low</v>
      </c>
      <c r="L374" s="35">
        <f>IFERROR(IF('1. Raw Data'!I374="",AVERAGE(IF('1. Raw Data'!I3:I402&lt;&gt;"",'1. Raw Data'!I3:I402)),VALUE('1. Raw Data'!I374)),0)</f>
        <v>204240.6</v>
      </c>
      <c r="M374" s="36">
        <f>IFERROR(IF('1. Raw Data'!J374="",AVERAGE(IF('1. Raw Data'!J3:J402&lt;&gt;"",'1. Raw Data'!J3:J402)),VALUE('1. Raw Data'!J374)),0)</f>
        <v>7.67</v>
      </c>
      <c r="N374" s="34">
        <f>'1. Raw Data'!K374</f>
        <v>36</v>
      </c>
      <c r="O374" s="35">
        <f t="shared" si="23"/>
        <v>6369.1110064583045</v>
      </c>
      <c r="P374" s="34">
        <f>'1. Raw Data'!L374</f>
        <v>56</v>
      </c>
      <c r="Q374" s="33" t="str">
        <f>TRIM('1. Raw Data'!M374)</f>
        <v>Premium</v>
      </c>
    </row>
    <row r="375" spans="1:17" ht="16.5" customHeight="1" x14ac:dyDescent="0.45">
      <c r="A375" s="25" t="str">
        <f>'1. Raw Data'!A375</f>
        <v>TXN-100373</v>
      </c>
      <c r="B375" s="26">
        <f>IFERROR(DATEVALUE('1. Raw Data'!B375),"")</f>
        <v>45485</v>
      </c>
      <c r="C375" s="27" t="str">
        <f t="shared" si="20"/>
        <v>Jul</v>
      </c>
      <c r="D375" s="27" t="str">
        <f t="shared" si="21"/>
        <v>Q3</v>
      </c>
      <c r="E375" s="28">
        <f t="shared" si="22"/>
        <v>2024</v>
      </c>
      <c r="F375" s="25" t="str">
        <f>PROPER(TRIM('1. Raw Data'!C375))</f>
        <v>Downtown</v>
      </c>
      <c r="G375" s="25" t="str">
        <f>TRIM('1. Raw Data'!D375)</f>
        <v>Mortgage</v>
      </c>
      <c r="H375" s="25" t="str">
        <f>TRIM('1. Raw Data'!E375)</f>
        <v>Loans</v>
      </c>
      <c r="I375" s="25" t="str">
        <f>TRIM('1. Raw Data'!F375)</f>
        <v>David Kim</v>
      </c>
      <c r="J375" s="27" t="str">
        <f>PROPER(TRIM('1. Raw Data'!G375))</f>
        <v>Active</v>
      </c>
      <c r="K375" s="27" t="str">
        <f>TRIM('1. Raw Data'!H375)</f>
        <v>Medium</v>
      </c>
      <c r="L375" s="29">
        <f>IFERROR(IF('1. Raw Data'!I375="",AVERAGE(IF('1. Raw Data'!I3:I402&lt;&gt;"",'1. Raw Data'!I3:I402)),VALUE('1. Raw Data'!I375)),0)</f>
        <v>48472.19</v>
      </c>
      <c r="M375" s="30">
        <f>IFERROR(IF('1. Raw Data'!J375="",AVERAGE(IF('1. Raw Data'!J3:J402&lt;&gt;"",'1. Raw Data'!J3:J402)),VALUE('1. Raw Data'!J375)),0)</f>
        <v>13.61</v>
      </c>
      <c r="N375" s="28">
        <f>'1. Raw Data'!K375</f>
        <v>6</v>
      </c>
      <c r="O375" s="29">
        <f t="shared" si="23"/>
        <v>8402.4026724507494</v>
      </c>
      <c r="P375" s="28">
        <f>'1. Raw Data'!L375</f>
        <v>24</v>
      </c>
      <c r="Q375" s="27" t="str">
        <f>TRIM('1. Raw Data'!M375)</f>
        <v>Standard</v>
      </c>
    </row>
    <row r="376" spans="1:17" ht="16.5" customHeight="1" x14ac:dyDescent="0.45">
      <c r="A376" s="31" t="str">
        <f>'1. Raw Data'!A376</f>
        <v>TXN-100374</v>
      </c>
      <c r="B376" s="32">
        <f>IFERROR(DATEVALUE('1. Raw Data'!B376),"")</f>
        <v>45418</v>
      </c>
      <c r="C376" s="33" t="str">
        <f t="shared" si="20"/>
        <v>May</v>
      </c>
      <c r="D376" s="33" t="str">
        <f t="shared" si="21"/>
        <v>Q2</v>
      </c>
      <c r="E376" s="34">
        <f t="shared" si="22"/>
        <v>2024</v>
      </c>
      <c r="F376" s="31" t="str">
        <f>PROPER(TRIM('1. Raw Data'!C376))</f>
        <v>Eastgate</v>
      </c>
      <c r="G376" s="31" t="str">
        <f>TRIM('1. Raw Data'!D376)</f>
        <v>Credit Card</v>
      </c>
      <c r="H376" s="31" t="str">
        <f>TRIM('1. Raw Data'!E376)</f>
        <v>Cards</v>
      </c>
      <c r="I376" s="31" t="str">
        <f>TRIM('1. Raw Data'!F376)</f>
        <v>Rachel Moore</v>
      </c>
      <c r="J376" s="33" t="str">
        <f>PROPER(TRIM('1. Raw Data'!G376))</f>
        <v>Active</v>
      </c>
      <c r="K376" s="33" t="str">
        <f>TRIM('1. Raw Data'!H376)</f>
        <v>Low</v>
      </c>
      <c r="L376" s="35">
        <f>IFERROR(IF('1. Raw Data'!I376="",AVERAGE(IF('1. Raw Data'!I3:I402&lt;&gt;"",'1. Raw Data'!I3:I402)),VALUE('1. Raw Data'!I376)),0)</f>
        <v>91103.679999999993</v>
      </c>
      <c r="M376" s="36">
        <f>IFERROR(IF('1. Raw Data'!J376="",AVERAGE(IF('1. Raw Data'!J3:J402&lt;&gt;"",'1. Raw Data'!J3:J402)),VALUE('1. Raw Data'!J376)),0)</f>
        <v>10.54</v>
      </c>
      <c r="N376" s="34">
        <f>'1. Raw Data'!K376</f>
        <v>360</v>
      </c>
      <c r="O376" s="35">
        <f t="shared" si="23"/>
        <v>836.08684084133654</v>
      </c>
      <c r="P376" s="34">
        <f>'1. Raw Data'!L376</f>
        <v>46</v>
      </c>
      <c r="Q376" s="33" t="str">
        <f>TRIM('1. Raw Data'!M376)</f>
        <v>Standard</v>
      </c>
    </row>
    <row r="377" spans="1:17" ht="16.5" customHeight="1" x14ac:dyDescent="0.45">
      <c r="A377" s="25" t="str">
        <f>'1. Raw Data'!A377</f>
        <v>TXN-100375</v>
      </c>
      <c r="B377" s="26">
        <f>IFERROR(DATEVALUE('1. Raw Data'!B377),"")</f>
        <v>45617</v>
      </c>
      <c r="C377" s="27" t="str">
        <f t="shared" si="20"/>
        <v>Nov</v>
      </c>
      <c r="D377" s="27" t="str">
        <f t="shared" si="21"/>
        <v>Q4</v>
      </c>
      <c r="E377" s="28">
        <f t="shared" si="22"/>
        <v>2024</v>
      </c>
      <c r="F377" s="25" t="str">
        <f>PROPER(TRIM('1. Raw Data'!C377))</f>
        <v>Downtown</v>
      </c>
      <c r="G377" s="25" t="str">
        <f>TRIM('1. Raw Data'!D377)</f>
        <v>Auto Loan</v>
      </c>
      <c r="H377" s="25" t="str">
        <f>TRIM('1. Raw Data'!E377)</f>
        <v>Loans</v>
      </c>
      <c r="I377" s="25" t="str">
        <f>TRIM('1. Raw Data'!F377)</f>
        <v>David Kim</v>
      </c>
      <c r="J377" s="27" t="str">
        <f>PROPER(TRIM('1. Raw Data'!G377))</f>
        <v>Active</v>
      </c>
      <c r="K377" s="27" t="str">
        <f>TRIM('1. Raw Data'!H377)</f>
        <v>High</v>
      </c>
      <c r="L377" s="29">
        <f>IFERROR(IF('1. Raw Data'!I377="",AVERAGE(IF('1. Raw Data'!I3:I402&lt;&gt;"",'1. Raw Data'!I3:I402)),VALUE('1. Raw Data'!I377)),0)</f>
        <v>132699.37</v>
      </c>
      <c r="M377" s="30">
        <f>IFERROR(IF('1. Raw Data'!J377="",AVERAGE(IF('1. Raw Data'!J3:J402&lt;&gt;"",'1. Raw Data'!J3:J402)),VALUE('1. Raw Data'!J377)),0)</f>
        <v>6.18</v>
      </c>
      <c r="N377" s="28">
        <f>'1. Raw Data'!K377</f>
        <v>240</v>
      </c>
      <c r="O377" s="29">
        <f t="shared" si="23"/>
        <v>964.53071399047769</v>
      </c>
      <c r="P377" s="28">
        <f>'1. Raw Data'!L377</f>
        <v>56</v>
      </c>
      <c r="Q377" s="27" t="str">
        <f>TRIM('1. Raw Data'!M377)</f>
        <v>Premium</v>
      </c>
    </row>
    <row r="378" spans="1:17" ht="16.5" customHeight="1" x14ac:dyDescent="0.45">
      <c r="A378" s="31" t="str">
        <f>'1. Raw Data'!A378</f>
        <v>TXN-100376</v>
      </c>
      <c r="B378" s="32">
        <f>IFERROR(DATEVALUE('1. Raw Data'!B378),"")</f>
        <v>45500</v>
      </c>
      <c r="C378" s="33" t="str">
        <f t="shared" si="20"/>
        <v>Jul</v>
      </c>
      <c r="D378" s="33" t="str">
        <f t="shared" si="21"/>
        <v>Q3</v>
      </c>
      <c r="E378" s="34">
        <f t="shared" si="22"/>
        <v>2024</v>
      </c>
      <c r="F378" s="31" t="str">
        <f>PROPER(TRIM('1. Raw Data'!C378))</f>
        <v>Eastgate</v>
      </c>
      <c r="G378" s="31" t="str">
        <f>TRIM('1. Raw Data'!D378)</f>
        <v>Business Loan</v>
      </c>
      <c r="H378" s="31" t="str">
        <f>TRIM('1. Raw Data'!E378)</f>
        <v>Loans</v>
      </c>
      <c r="I378" s="31" t="str">
        <f>TRIM('1. Raw Data'!F378)</f>
        <v>Sarah Chen</v>
      </c>
      <c r="J378" s="33" t="str">
        <f>PROPER(TRIM('1. Raw Data'!G378))</f>
        <v>Pending</v>
      </c>
      <c r="K378" s="33" t="str">
        <f>TRIM('1. Raw Data'!H378)</f>
        <v>Medium</v>
      </c>
      <c r="L378" s="35">
        <f>IFERROR(IF('1. Raw Data'!I378="",AVERAGE(IF('1. Raw Data'!I3:I402&lt;&gt;"",'1. Raw Data'!I3:I402)),VALUE('1. Raw Data'!I378)),0)</f>
        <v>37976.9</v>
      </c>
      <c r="M378" s="36">
        <f>IFERROR(IF('1. Raw Data'!J378="",AVERAGE(IF('1. Raw Data'!J3:J402&lt;&gt;"",'1. Raw Data'!J3:J402)),VALUE('1. Raw Data'!J378)),0)</f>
        <v>3.65</v>
      </c>
      <c r="N378" s="34">
        <f>'1. Raw Data'!K378</f>
        <v>24</v>
      </c>
      <c r="O378" s="35">
        <f t="shared" si="23"/>
        <v>1643.2342487973931</v>
      </c>
      <c r="P378" s="34">
        <f>'1. Raw Data'!L378</f>
        <v>60</v>
      </c>
      <c r="Q378" s="33" t="str">
        <f>TRIM('1. Raw Data'!M378)</f>
        <v>Standard</v>
      </c>
    </row>
    <row r="379" spans="1:17" ht="16.5" customHeight="1" x14ac:dyDescent="0.45">
      <c r="A379" s="25" t="str">
        <f>'1. Raw Data'!A379</f>
        <v>TXN-100377</v>
      </c>
      <c r="B379" s="26">
        <f>IFERROR(DATEVALUE('1. Raw Data'!B379),"")</f>
        <v>45416</v>
      </c>
      <c r="C379" s="27" t="str">
        <f t="shared" si="20"/>
        <v>May</v>
      </c>
      <c r="D379" s="27" t="str">
        <f t="shared" si="21"/>
        <v>Q2</v>
      </c>
      <c r="E379" s="28">
        <f t="shared" si="22"/>
        <v>2024</v>
      </c>
      <c r="F379" s="25" t="str">
        <f>PROPER(TRIM('1. Raw Data'!C379))</f>
        <v>Downtown</v>
      </c>
      <c r="G379" s="25" t="str">
        <f>TRIM('1. Raw Data'!D379)</f>
        <v>Credit Card</v>
      </c>
      <c r="H379" s="25" t="str">
        <f>TRIM('1. Raw Data'!E379)</f>
        <v>Cards</v>
      </c>
      <c r="I379" s="25" t="str">
        <f>TRIM('1. Raw Data'!F379)</f>
        <v>David Kim</v>
      </c>
      <c r="J379" s="27" t="str">
        <f>PROPER(TRIM('1. Raw Data'!G379))</f>
        <v>Pending</v>
      </c>
      <c r="K379" s="27" t="str">
        <f>TRIM('1. Raw Data'!H379)</f>
        <v>Low</v>
      </c>
      <c r="L379" s="29">
        <f>IFERROR(IF('1. Raw Data'!I379="",AVERAGE(IF('1. Raw Data'!I3:I402&lt;&gt;"",'1. Raw Data'!I3:I402)),VALUE('1. Raw Data'!I379)),0)</f>
        <v>113654.85</v>
      </c>
      <c r="M379" s="30">
        <f>IFERROR(IF('1. Raw Data'!J379="",AVERAGE(IF('1. Raw Data'!J3:J402&lt;&gt;"",'1. Raw Data'!J3:J402)),VALUE('1. Raw Data'!J379)),0)</f>
        <v>5.75</v>
      </c>
      <c r="N379" s="28">
        <f>'1. Raw Data'!K379</f>
        <v>60</v>
      </c>
      <c r="O379" s="29">
        <f t="shared" si="23"/>
        <v>2184.0789084804514</v>
      </c>
      <c r="P379" s="28">
        <f>'1. Raw Data'!L379</f>
        <v>35</v>
      </c>
      <c r="Q379" s="27" t="str">
        <f>TRIM('1. Raw Data'!M379)</f>
        <v>Premium</v>
      </c>
    </row>
    <row r="380" spans="1:17" ht="16.5" customHeight="1" x14ac:dyDescent="0.45">
      <c r="A380" s="31" t="str">
        <f>'1. Raw Data'!A380</f>
        <v>TXN-100378</v>
      </c>
      <c r="B380" s="32">
        <f>IFERROR(DATEVALUE('1. Raw Data'!B380),"")</f>
        <v>45636</v>
      </c>
      <c r="C380" s="33" t="str">
        <f t="shared" si="20"/>
        <v>Dec</v>
      </c>
      <c r="D380" s="33" t="str">
        <f t="shared" si="21"/>
        <v>Q4</v>
      </c>
      <c r="E380" s="34">
        <f t="shared" si="22"/>
        <v>2024</v>
      </c>
      <c r="F380" s="31" t="str">
        <f>PROPER(TRIM('1. Raw Data'!C380))</f>
        <v>Westside</v>
      </c>
      <c r="G380" s="31" t="str">
        <f>TRIM('1. Raw Data'!D380)</f>
        <v>Personal Loan</v>
      </c>
      <c r="H380" s="31" t="str">
        <f>TRIM('1. Raw Data'!E380)</f>
        <v>Loans</v>
      </c>
      <c r="I380" s="31" t="str">
        <f>TRIM('1. Raw Data'!F380)</f>
        <v>Maria Lopez</v>
      </c>
      <c r="J380" s="33" t="str">
        <f>PROPER(TRIM('1. Raw Data'!G380))</f>
        <v>Active</v>
      </c>
      <c r="K380" s="33" t="str">
        <f>TRIM('1. Raw Data'!H380)</f>
        <v>Medium</v>
      </c>
      <c r="L380" s="35">
        <f>IFERROR(IF('1. Raw Data'!I380="",AVERAGE(IF('1. Raw Data'!I3:I402&lt;&gt;"",'1. Raw Data'!I3:I402)),VALUE('1. Raw Data'!I380)),0)</f>
        <v>204824.6</v>
      </c>
      <c r="M380" s="36">
        <f>IFERROR(IF('1. Raw Data'!J380="",AVERAGE(IF('1. Raw Data'!J3:J402&lt;&gt;"",'1. Raw Data'!J3:J402)),VALUE('1. Raw Data'!J380)),0)</f>
        <v>12.34</v>
      </c>
      <c r="N380" s="34">
        <f>'1. Raw Data'!K380</f>
        <v>48</v>
      </c>
      <c r="O380" s="35">
        <f t="shared" si="23"/>
        <v>5428.0733831890184</v>
      </c>
      <c r="P380" s="34">
        <f>'1. Raw Data'!L380</f>
        <v>42</v>
      </c>
      <c r="Q380" s="33" t="str">
        <f>TRIM('1. Raw Data'!M380)</f>
        <v>Premium</v>
      </c>
    </row>
    <row r="381" spans="1:17" ht="16.5" customHeight="1" x14ac:dyDescent="0.45">
      <c r="A381" s="25" t="str">
        <f>'1. Raw Data'!A381</f>
        <v>TXN-100379</v>
      </c>
      <c r="B381" s="26">
        <f>IFERROR(DATEVALUE('1. Raw Data'!B381),"")</f>
        <v>45611</v>
      </c>
      <c r="C381" s="27" t="str">
        <f t="shared" si="20"/>
        <v>Nov</v>
      </c>
      <c r="D381" s="27" t="str">
        <f t="shared" si="21"/>
        <v>Q4</v>
      </c>
      <c r="E381" s="28">
        <f t="shared" si="22"/>
        <v>2024</v>
      </c>
      <c r="F381" s="25" t="str">
        <f>PROPER(TRIM('1. Raw Data'!C381))</f>
        <v>Uptown</v>
      </c>
      <c r="G381" s="25" t="str">
        <f>TRIM('1. Raw Data'!D381)</f>
        <v>Personal Loan</v>
      </c>
      <c r="H381" s="25" t="str">
        <f>TRIM('1. Raw Data'!E381)</f>
        <v>Loans</v>
      </c>
      <c r="I381" s="25" t="str">
        <f>TRIM('1. Raw Data'!F381)</f>
        <v>Rachel Moore</v>
      </c>
      <c r="J381" s="27" t="str">
        <f>PROPER(TRIM('1. Raw Data'!G381))</f>
        <v>Active</v>
      </c>
      <c r="K381" s="27" t="str">
        <f>TRIM('1. Raw Data'!H381)</f>
        <v>Low</v>
      </c>
      <c r="L381" s="29">
        <f>IFERROR(IF('1. Raw Data'!I381="",AVERAGE(IF('1. Raw Data'!I3:I402&lt;&gt;"",'1. Raw Data'!I3:I402)),VALUE('1. Raw Data'!I381)),0)</f>
        <v>220933.02</v>
      </c>
      <c r="M381" s="30">
        <f>IFERROR(IF('1. Raw Data'!J381="",AVERAGE(IF('1. Raw Data'!J3:J402&lt;&gt;"",'1. Raw Data'!J3:J402)),VALUE('1. Raw Data'!J381)),0)</f>
        <v>9.4600000000000009</v>
      </c>
      <c r="N381" s="28">
        <f>'1. Raw Data'!K381</f>
        <v>60</v>
      </c>
      <c r="O381" s="29">
        <f t="shared" si="23"/>
        <v>4635.6871103607109</v>
      </c>
      <c r="P381" s="28">
        <f>'1. Raw Data'!L381</f>
        <v>22</v>
      </c>
      <c r="Q381" s="27" t="str">
        <f>TRIM('1. Raw Data'!M381)</f>
        <v>Premium</v>
      </c>
    </row>
    <row r="382" spans="1:17" ht="16.5" customHeight="1" x14ac:dyDescent="0.45">
      <c r="A382" s="31" t="str">
        <f>'1. Raw Data'!A382</f>
        <v>TXN-100380</v>
      </c>
      <c r="B382" s="32">
        <f>IFERROR(DATEVALUE('1. Raw Data'!B382),"")</f>
        <v>45574</v>
      </c>
      <c r="C382" s="33" t="str">
        <f t="shared" si="20"/>
        <v>Oct</v>
      </c>
      <c r="D382" s="33" t="str">
        <f t="shared" si="21"/>
        <v>Q4</v>
      </c>
      <c r="E382" s="34">
        <f t="shared" si="22"/>
        <v>2024</v>
      </c>
      <c r="F382" s="31" t="str">
        <f>PROPER(TRIM('1. Raw Data'!C382))</f>
        <v>Downtown</v>
      </c>
      <c r="G382" s="31" t="str">
        <f>TRIM('1. Raw Data'!D382)</f>
        <v>Business Loan</v>
      </c>
      <c r="H382" s="31" t="str">
        <f>TRIM('1. Raw Data'!E382)</f>
        <v>Loans</v>
      </c>
      <c r="I382" s="31" t="str">
        <f>TRIM('1. Raw Data'!F382)</f>
        <v>Maria Lopez</v>
      </c>
      <c r="J382" s="33" t="str">
        <f>PROPER(TRIM('1. Raw Data'!G382))</f>
        <v>Active</v>
      </c>
      <c r="K382" s="33" t="str">
        <f>TRIM('1. Raw Data'!H382)</f>
        <v>Medium</v>
      </c>
      <c r="L382" s="35">
        <f>IFERROR(IF('1. Raw Data'!I382="",AVERAGE(IF('1. Raw Data'!I3:I402&lt;&gt;"",'1. Raw Data'!I3:I402)),VALUE('1. Raw Data'!I382)),0)</f>
        <v>22851.62</v>
      </c>
      <c r="M382" s="36">
        <f>IFERROR(IF('1. Raw Data'!J382="",AVERAGE(IF('1. Raw Data'!J3:J402&lt;&gt;"",'1. Raw Data'!J3:J402)),VALUE('1. Raw Data'!J382)),0)</f>
        <v>6.75</v>
      </c>
      <c r="N382" s="34">
        <f>'1. Raw Data'!K382</f>
        <v>6</v>
      </c>
      <c r="O382" s="35">
        <f t="shared" si="23"/>
        <v>3883.9356973725776</v>
      </c>
      <c r="P382" s="34">
        <f>'1. Raw Data'!L382</f>
        <v>70</v>
      </c>
      <c r="Q382" s="33" t="str">
        <f>TRIM('1. Raw Data'!M382)</f>
        <v>Basic</v>
      </c>
    </row>
    <row r="383" spans="1:17" ht="16.5" customHeight="1" x14ac:dyDescent="0.45">
      <c r="A383" s="25" t="str">
        <f>'1. Raw Data'!A383</f>
        <v>TXN-100381</v>
      </c>
      <c r="B383" s="26">
        <f>IFERROR(DATEVALUE('1. Raw Data'!B383),"")</f>
        <v>45480</v>
      </c>
      <c r="C383" s="27" t="str">
        <f t="shared" si="20"/>
        <v>Jul</v>
      </c>
      <c r="D383" s="27" t="str">
        <f t="shared" si="21"/>
        <v>Q3</v>
      </c>
      <c r="E383" s="28">
        <f t="shared" si="22"/>
        <v>2024</v>
      </c>
      <c r="F383" s="25" t="str">
        <f>PROPER(TRIM('1. Raw Data'!C383))</f>
        <v>Westside</v>
      </c>
      <c r="G383" s="25" t="str">
        <f>TRIM('1. Raw Data'!D383)</f>
        <v>Personal Loan</v>
      </c>
      <c r="H383" s="25" t="str">
        <f>TRIM('1. Raw Data'!E383)</f>
        <v>Loans</v>
      </c>
      <c r="I383" s="25" t="str">
        <f>TRIM('1. Raw Data'!F383)</f>
        <v>James Patel</v>
      </c>
      <c r="J383" s="27" t="str">
        <f>PROPER(TRIM('1. Raw Data'!G383))</f>
        <v>Inactive</v>
      </c>
      <c r="K383" s="27" t="str">
        <f>TRIM('1. Raw Data'!H383)</f>
        <v>Low</v>
      </c>
      <c r="L383" s="29">
        <f>IFERROR(IF('1. Raw Data'!I383="",AVERAGE(IF('1. Raw Data'!I3:I402&lt;&gt;"",'1. Raw Data'!I3:I402)),VALUE('1. Raw Data'!I383)),0)</f>
        <v>207473.73</v>
      </c>
      <c r="M383" s="30">
        <f>IFERROR(IF('1. Raw Data'!J383="",AVERAGE(IF('1. Raw Data'!J3:J402&lt;&gt;"",'1. Raw Data'!J3:J402)),VALUE('1. Raw Data'!J383)),0)</f>
        <v>12.38</v>
      </c>
      <c r="N383" s="28">
        <f>'1. Raw Data'!K383</f>
        <v>36</v>
      </c>
      <c r="O383" s="29">
        <f t="shared" si="23"/>
        <v>6928.812927261939</v>
      </c>
      <c r="P383" s="28">
        <f>'1. Raw Data'!L383</f>
        <v>42</v>
      </c>
      <c r="Q383" s="27" t="str">
        <f>TRIM('1. Raw Data'!M383)</f>
        <v>Premium</v>
      </c>
    </row>
    <row r="384" spans="1:17" ht="16.5" customHeight="1" x14ac:dyDescent="0.45">
      <c r="A384" s="31" t="str">
        <f>'1. Raw Data'!A384</f>
        <v>TXN-100382</v>
      </c>
      <c r="B384" s="32">
        <f>IFERROR(DATEVALUE('1. Raw Data'!B384),"")</f>
        <v>45531</v>
      </c>
      <c r="C384" s="33" t="str">
        <f t="shared" si="20"/>
        <v>Aug</v>
      </c>
      <c r="D384" s="33" t="str">
        <f t="shared" si="21"/>
        <v>Q3</v>
      </c>
      <c r="E384" s="34">
        <f t="shared" si="22"/>
        <v>2024</v>
      </c>
      <c r="F384" s="31" t="str">
        <f>PROPER(TRIM('1. Raw Data'!C384))</f>
        <v>Downtown</v>
      </c>
      <c r="G384" s="31" t="str">
        <f>TRIM('1. Raw Data'!D384)</f>
        <v>Savings Account</v>
      </c>
      <c r="H384" s="31" t="str">
        <f>TRIM('1. Raw Data'!E384)</f>
        <v>Deposits</v>
      </c>
      <c r="I384" s="31" t="str">
        <f>TRIM('1. Raw Data'!F384)</f>
        <v>David Kim</v>
      </c>
      <c r="J384" s="33" t="str">
        <f>PROPER(TRIM('1. Raw Data'!G384))</f>
        <v>Active</v>
      </c>
      <c r="K384" s="33" t="str">
        <f>TRIM('1. Raw Data'!H384)</f>
        <v>High</v>
      </c>
      <c r="L384" s="35">
        <f>IFERROR(IF('1. Raw Data'!I384="",AVERAGE(IF('1. Raw Data'!I3:I402&lt;&gt;"",'1. Raw Data'!I3:I402)),VALUE('1. Raw Data'!I384)),0)</f>
        <v>2208.5</v>
      </c>
      <c r="M384" s="36">
        <f>IFERROR(IF('1. Raw Data'!J384="",AVERAGE(IF('1. Raw Data'!J3:J402&lt;&gt;"",'1. Raw Data'!J3:J402)),VALUE('1. Raw Data'!J384)),0)</f>
        <v>8.93</v>
      </c>
      <c r="N384" s="34">
        <f>'1. Raw Data'!K384</f>
        <v>240</v>
      </c>
      <c r="O384" s="35">
        <f t="shared" si="23"/>
        <v>19.771130935648927</v>
      </c>
      <c r="P384" s="34">
        <f>'1. Raw Data'!L384</f>
        <v>66</v>
      </c>
      <c r="Q384" s="33" t="str">
        <f>TRIM('1. Raw Data'!M384)</f>
        <v>Basic</v>
      </c>
    </row>
    <row r="385" spans="1:17" ht="16.5" customHeight="1" x14ac:dyDescent="0.45">
      <c r="A385" s="25" t="str">
        <f>'1. Raw Data'!A385</f>
        <v>TXN-100383</v>
      </c>
      <c r="B385" s="26">
        <f>IFERROR(DATEVALUE('1. Raw Data'!B385),"")</f>
        <v>45566</v>
      </c>
      <c r="C385" s="27" t="str">
        <f t="shared" si="20"/>
        <v>Oct</v>
      </c>
      <c r="D385" s="27" t="str">
        <f t="shared" si="21"/>
        <v>Q4</v>
      </c>
      <c r="E385" s="28">
        <f t="shared" si="22"/>
        <v>2024</v>
      </c>
      <c r="F385" s="25" t="str">
        <f>PROPER(TRIM('1. Raw Data'!C385))</f>
        <v>Westside</v>
      </c>
      <c r="G385" s="25" t="str">
        <f>TRIM('1. Raw Data'!D385)</f>
        <v>Personal Loan</v>
      </c>
      <c r="H385" s="25" t="str">
        <f>TRIM('1. Raw Data'!E385)</f>
        <v>Loans</v>
      </c>
      <c r="I385" s="25" t="str">
        <f>TRIM('1. Raw Data'!F385)</f>
        <v>Sarah Chen</v>
      </c>
      <c r="J385" s="27" t="str">
        <f>PROPER(TRIM('1. Raw Data'!G385))</f>
        <v>Active</v>
      </c>
      <c r="K385" s="27" t="str">
        <f>TRIM('1. Raw Data'!H385)</f>
        <v>Low</v>
      </c>
      <c r="L385" s="29">
        <f>IFERROR(IF('1. Raw Data'!I385="",AVERAGE(IF('1. Raw Data'!I3:I402&lt;&gt;"",'1. Raw Data'!I3:I402)),VALUE('1. Raw Data'!I385)),0)</f>
        <v>227842.03</v>
      </c>
      <c r="M385" s="30">
        <f>IFERROR(IF('1. Raw Data'!J385="",AVERAGE(IF('1. Raw Data'!J3:J402&lt;&gt;"",'1. Raw Data'!J3:J402)),VALUE('1. Raw Data'!J385)),0)</f>
        <v>10.42</v>
      </c>
      <c r="N385" s="28">
        <f>'1. Raw Data'!K385</f>
        <v>60</v>
      </c>
      <c r="O385" s="29">
        <f t="shared" si="23"/>
        <v>4888.1892840254959</v>
      </c>
      <c r="P385" s="28">
        <f>'1. Raw Data'!L385</f>
        <v>60</v>
      </c>
      <c r="Q385" s="27" t="str">
        <f>TRIM('1. Raw Data'!M385)</f>
        <v>Premium</v>
      </c>
    </row>
    <row r="386" spans="1:17" ht="16.5" customHeight="1" x14ac:dyDescent="0.45">
      <c r="A386" s="31" t="str">
        <f>'1. Raw Data'!A386</f>
        <v>TXN-100384</v>
      </c>
      <c r="B386" s="32">
        <f>IFERROR(DATEVALUE('1. Raw Data'!B386),"")</f>
        <v>45606</v>
      </c>
      <c r="C386" s="33" t="str">
        <f t="shared" si="20"/>
        <v>Nov</v>
      </c>
      <c r="D386" s="33" t="str">
        <f t="shared" si="21"/>
        <v>Q4</v>
      </c>
      <c r="E386" s="34">
        <f t="shared" si="22"/>
        <v>2024</v>
      </c>
      <c r="F386" s="31" t="str">
        <f>PROPER(TRIM('1. Raw Data'!C386))</f>
        <v>Westside</v>
      </c>
      <c r="G386" s="31" t="str">
        <f>TRIM('1. Raw Data'!D386)</f>
        <v>Checking Account</v>
      </c>
      <c r="H386" s="31" t="str">
        <f>TRIM('1. Raw Data'!E386)</f>
        <v>Deposits</v>
      </c>
      <c r="I386" s="31" t="str">
        <f>TRIM('1. Raw Data'!F386)</f>
        <v>James Patel</v>
      </c>
      <c r="J386" s="33" t="str">
        <f>PROPER(TRIM('1. Raw Data'!G386))</f>
        <v>Inactive</v>
      </c>
      <c r="K386" s="33" t="str">
        <f>TRIM('1. Raw Data'!H386)</f>
        <v>Low</v>
      </c>
      <c r="L386" s="35">
        <f>IFERROR(IF('1. Raw Data'!I386="",AVERAGE(IF('1. Raw Data'!I3:I402&lt;&gt;"",'1. Raw Data'!I3:I402)),VALUE('1. Raw Data'!I386)),0)</f>
        <v>46796.71</v>
      </c>
      <c r="M386" s="36">
        <f>IFERROR(IF('1. Raw Data'!J386="",AVERAGE(IF('1. Raw Data'!J3:J402&lt;&gt;"",'1. Raw Data'!J3:J402)),VALUE('1. Raw Data'!J386)),0)</f>
        <v>12.99</v>
      </c>
      <c r="N386" s="34">
        <f>'1. Raw Data'!K386</f>
        <v>12</v>
      </c>
      <c r="O386" s="35">
        <f t="shared" si="23"/>
        <v>4179.5350989504395</v>
      </c>
      <c r="P386" s="34">
        <f>'1. Raw Data'!L386</f>
        <v>59</v>
      </c>
      <c r="Q386" s="33" t="str">
        <f>TRIM('1. Raw Data'!M386)</f>
        <v>Standard</v>
      </c>
    </row>
    <row r="387" spans="1:17" ht="16.5" customHeight="1" x14ac:dyDescent="0.45">
      <c r="A387" s="25" t="str">
        <f>'1. Raw Data'!A387</f>
        <v>TXN-100385</v>
      </c>
      <c r="B387" s="26">
        <f>IFERROR(DATEVALUE('1. Raw Data'!B387),"")</f>
        <v>45397</v>
      </c>
      <c r="C387" s="27" t="str">
        <f t="shared" ref="C387:C450" si="24">IFERROR(TEXT(B387,"mmm"),"")</f>
        <v>Apr</v>
      </c>
      <c r="D387" s="27" t="str">
        <f t="shared" ref="D387:D402" si="25">IFERROR("Q"&amp;INT((MONTH(B387)-1)/3+1),"")</f>
        <v>Q2</v>
      </c>
      <c r="E387" s="28">
        <f t="shared" ref="E387:E402" si="26">IFERROR(YEAR(B387),"")</f>
        <v>2024</v>
      </c>
      <c r="F387" s="25" t="str">
        <f>PROPER(TRIM('1. Raw Data'!C387))</f>
        <v>Eastgate</v>
      </c>
      <c r="G387" s="25" t="str">
        <f>TRIM('1. Raw Data'!D387)</f>
        <v>Fixed Deposit</v>
      </c>
      <c r="H387" s="25" t="str">
        <f>TRIM('1. Raw Data'!E387)</f>
        <v>Deposits</v>
      </c>
      <c r="I387" s="25" t="str">
        <f>TRIM('1. Raw Data'!F387)</f>
        <v>Maria Lopez</v>
      </c>
      <c r="J387" s="27" t="str">
        <f>PROPER(TRIM('1. Raw Data'!G387))</f>
        <v>Active</v>
      </c>
      <c r="K387" s="27" t="str">
        <f>TRIM('1. Raw Data'!H387)</f>
        <v>High</v>
      </c>
      <c r="L387" s="29">
        <f>IFERROR(IF('1. Raw Data'!I387="",AVERAGE(IF('1. Raw Data'!I3:I402&lt;&gt;"",'1. Raw Data'!I3:I402)),VALUE('1. Raw Data'!I387)),0)</f>
        <v>123382.13</v>
      </c>
      <c r="M387" s="30">
        <f>IFERROR(IF('1. Raw Data'!J387="",AVERAGE(IF('1. Raw Data'!J3:J402&lt;&gt;"",'1. Raw Data'!J3:J402)),VALUE('1. Raw Data'!J387)),0)</f>
        <v>9.26</v>
      </c>
      <c r="N387" s="28">
        <f>'1. Raw Data'!K387</f>
        <v>180</v>
      </c>
      <c r="O387" s="29">
        <f t="shared" ref="O387:O450" si="27">IFERROR(IF(M387=0,0,(L387*(M387/100/12))/(1-(1+M387/100/12)^(-N387))),0)</f>
        <v>1270.5787420276349</v>
      </c>
      <c r="P387" s="28">
        <f>'1. Raw Data'!L387</f>
        <v>64</v>
      </c>
      <c r="Q387" s="27" t="str">
        <f>TRIM('1. Raw Data'!M387)</f>
        <v>Premium</v>
      </c>
    </row>
    <row r="388" spans="1:17" ht="16.5" customHeight="1" x14ac:dyDescent="0.45">
      <c r="A388" s="31" t="str">
        <f>'1. Raw Data'!A388</f>
        <v>TXN-100386</v>
      </c>
      <c r="B388" s="32">
        <f>IFERROR(DATEVALUE('1. Raw Data'!B388),"")</f>
        <v>45340</v>
      </c>
      <c r="C388" s="33" t="str">
        <f t="shared" si="24"/>
        <v>Feb</v>
      </c>
      <c r="D388" s="33" t="str">
        <f t="shared" si="25"/>
        <v>Q1</v>
      </c>
      <c r="E388" s="34">
        <f t="shared" si="26"/>
        <v>2024</v>
      </c>
      <c r="F388" s="31" t="str">
        <f>PROPER(TRIM('1. Raw Data'!C388))</f>
        <v>Downtown</v>
      </c>
      <c r="G388" s="31" t="str">
        <f>TRIM('1. Raw Data'!D388)</f>
        <v>Credit Card</v>
      </c>
      <c r="H388" s="31" t="str">
        <f>TRIM('1. Raw Data'!E388)</f>
        <v>Cards</v>
      </c>
      <c r="I388" s="31" t="str">
        <f>TRIM('1. Raw Data'!F388)</f>
        <v>Rachel Moore</v>
      </c>
      <c r="J388" s="33" t="str">
        <f>PROPER(TRIM('1. Raw Data'!G388))</f>
        <v>Active</v>
      </c>
      <c r="K388" s="33" t="str">
        <f>TRIM('1. Raw Data'!H388)</f>
        <v>Medium</v>
      </c>
      <c r="L388" s="35">
        <f>IFERROR(IF('1. Raw Data'!I388="",AVERAGE(IF('1. Raw Data'!I3:I402&lt;&gt;"",'1. Raw Data'!I3:I402)),VALUE('1. Raw Data'!I388)),0)</f>
        <v>33514.43</v>
      </c>
      <c r="M388" s="36">
        <f>IFERROR(IF('1. Raw Data'!J388="",AVERAGE(IF('1. Raw Data'!J3:J402&lt;&gt;"",'1. Raw Data'!J3:J402)),VALUE('1. Raw Data'!J388)),0)</f>
        <v>7.04</v>
      </c>
      <c r="N388" s="34">
        <f>'1. Raw Data'!K388</f>
        <v>180</v>
      </c>
      <c r="O388" s="35">
        <f t="shared" si="27"/>
        <v>301.98715077716446</v>
      </c>
      <c r="P388" s="34">
        <f>'1. Raw Data'!L388</f>
        <v>35</v>
      </c>
      <c r="Q388" s="33" t="str">
        <f>TRIM('1. Raw Data'!M388)</f>
        <v>Standard</v>
      </c>
    </row>
    <row r="389" spans="1:17" ht="16.5" customHeight="1" x14ac:dyDescent="0.45">
      <c r="A389" s="25" t="str">
        <f>'1. Raw Data'!A389</f>
        <v>TXN-100387</v>
      </c>
      <c r="B389" s="26">
        <f>IFERROR(DATEVALUE('1. Raw Data'!B389),"")</f>
        <v>45439</v>
      </c>
      <c r="C389" s="27" t="str">
        <f t="shared" si="24"/>
        <v>May</v>
      </c>
      <c r="D389" s="27" t="str">
        <f t="shared" si="25"/>
        <v>Q2</v>
      </c>
      <c r="E389" s="28">
        <f t="shared" si="26"/>
        <v>2024</v>
      </c>
      <c r="F389" s="25" t="str">
        <f>PROPER(TRIM('1. Raw Data'!C389))</f>
        <v>Uptown</v>
      </c>
      <c r="G389" s="25" t="str">
        <f>TRIM('1. Raw Data'!D389)</f>
        <v>Credit Card</v>
      </c>
      <c r="H389" s="25" t="str">
        <f>TRIM('1. Raw Data'!E389)</f>
        <v>Cards</v>
      </c>
      <c r="I389" s="25" t="str">
        <f>TRIM('1. Raw Data'!F389)</f>
        <v>Rachel Moore</v>
      </c>
      <c r="J389" s="27" t="str">
        <f>PROPER(TRIM('1. Raw Data'!G389))</f>
        <v>Active</v>
      </c>
      <c r="K389" s="27" t="str">
        <f>TRIM('1. Raw Data'!H389)</f>
        <v>Low</v>
      </c>
      <c r="L389" s="29">
        <f>IFERROR(IF('1. Raw Data'!I389="",AVERAGE(IF('1. Raw Data'!I3:I402&lt;&gt;"",'1. Raw Data'!I3:I402)),VALUE('1. Raw Data'!I389)),0)</f>
        <v>126041.48</v>
      </c>
      <c r="M389" s="30">
        <f>IFERROR(IF('1. Raw Data'!J389="",AVERAGE(IF('1. Raw Data'!J3:J402&lt;&gt;"",'1. Raw Data'!J3:J402)),VALUE('1. Raw Data'!J389)),0)</f>
        <v>3.68</v>
      </c>
      <c r="N389" s="28">
        <f>'1. Raw Data'!K389</f>
        <v>180</v>
      </c>
      <c r="O389" s="29">
        <f t="shared" si="27"/>
        <v>912.23099369306874</v>
      </c>
      <c r="P389" s="28">
        <f>'1. Raw Data'!L389</f>
        <v>64</v>
      </c>
      <c r="Q389" s="27" t="str">
        <f>TRIM('1. Raw Data'!M389)</f>
        <v>Premium</v>
      </c>
    </row>
    <row r="390" spans="1:17" ht="16.5" customHeight="1" x14ac:dyDescent="0.45">
      <c r="A390" s="31" t="str">
        <f>'1. Raw Data'!A390</f>
        <v>TXN-100388</v>
      </c>
      <c r="B390" s="32">
        <f>IFERROR(DATEVALUE('1. Raw Data'!B390),"")</f>
        <v>45650</v>
      </c>
      <c r="C390" s="33" t="str">
        <f t="shared" si="24"/>
        <v>Dec</v>
      </c>
      <c r="D390" s="33" t="str">
        <f t="shared" si="25"/>
        <v>Q4</v>
      </c>
      <c r="E390" s="34">
        <f t="shared" si="26"/>
        <v>2024</v>
      </c>
      <c r="F390" s="31" t="str">
        <f>PROPER(TRIM('1. Raw Data'!C390))</f>
        <v>Eastgate</v>
      </c>
      <c r="G390" s="31" t="str">
        <f>TRIM('1. Raw Data'!D390)</f>
        <v>Savings Account</v>
      </c>
      <c r="H390" s="31" t="str">
        <f>TRIM('1. Raw Data'!E390)</f>
        <v>Deposits</v>
      </c>
      <c r="I390" s="31" t="str">
        <f>TRIM('1. Raw Data'!F390)</f>
        <v>David Kim</v>
      </c>
      <c r="J390" s="33" t="str">
        <f>PROPER(TRIM('1. Raw Data'!G390))</f>
        <v>Active</v>
      </c>
      <c r="K390" s="33" t="str">
        <f>TRIM('1. Raw Data'!H390)</f>
        <v>Medium</v>
      </c>
      <c r="L390" s="35">
        <f>IFERROR(IF('1. Raw Data'!I390="",AVERAGE(IF('1. Raw Data'!I3:I402&lt;&gt;"",'1. Raw Data'!I3:I402)),VALUE('1. Raw Data'!I390)),0)</f>
        <v>153977.23000000001</v>
      </c>
      <c r="M390" s="36">
        <f>IFERROR(IF('1. Raw Data'!J390="",AVERAGE(IF('1. Raw Data'!J3:J402&lt;&gt;"",'1. Raw Data'!J3:J402)),VALUE('1. Raw Data'!J390)),0)</f>
        <v>9.1300000000000008</v>
      </c>
      <c r="N390" s="34">
        <f>'1. Raw Data'!K390</f>
        <v>360</v>
      </c>
      <c r="O390" s="35">
        <f t="shared" si="27"/>
        <v>1253.3655258465458</v>
      </c>
      <c r="P390" s="34">
        <f>'1. Raw Data'!L390</f>
        <v>55</v>
      </c>
      <c r="Q390" s="33" t="str">
        <f>TRIM('1. Raw Data'!M390)</f>
        <v>Premium</v>
      </c>
    </row>
    <row r="391" spans="1:17" ht="16.5" customHeight="1" x14ac:dyDescent="0.45">
      <c r="A391" s="25" t="str">
        <f>'1. Raw Data'!A391</f>
        <v>TXN-100389</v>
      </c>
      <c r="B391" s="26">
        <f>IFERROR(DATEVALUE('1. Raw Data'!B391),"")</f>
        <v>45324</v>
      </c>
      <c r="C391" s="27" t="str">
        <f t="shared" si="24"/>
        <v>Feb</v>
      </c>
      <c r="D391" s="27" t="str">
        <f t="shared" si="25"/>
        <v>Q1</v>
      </c>
      <c r="E391" s="28">
        <f t="shared" si="26"/>
        <v>2024</v>
      </c>
      <c r="F391" s="25" t="str">
        <f>PROPER(TRIM('1. Raw Data'!C391))</f>
        <v>Northpark</v>
      </c>
      <c r="G391" s="25" t="str">
        <f>TRIM('1. Raw Data'!D391)</f>
        <v>Business Loan</v>
      </c>
      <c r="H391" s="25" t="str">
        <f>TRIM('1. Raw Data'!E391)</f>
        <v>Loans</v>
      </c>
      <c r="I391" s="25" t="str">
        <f>TRIM('1. Raw Data'!F391)</f>
        <v>James Patel</v>
      </c>
      <c r="J391" s="27" t="str">
        <f>PROPER(TRIM('1. Raw Data'!G391))</f>
        <v>Active</v>
      </c>
      <c r="K391" s="27" t="str">
        <f>TRIM('1. Raw Data'!H391)</f>
        <v>Low</v>
      </c>
      <c r="L391" s="29">
        <f>IFERROR(IF('1. Raw Data'!I391="",AVERAGE(IF('1. Raw Data'!I3:I402&lt;&gt;"",'1. Raw Data'!I3:I402)),VALUE('1. Raw Data'!I391)),0)</f>
        <v>0</v>
      </c>
      <c r="M391" s="30">
        <f>IFERROR(IF('1. Raw Data'!J391="",AVERAGE(IF('1. Raw Data'!J3:J402&lt;&gt;"",'1. Raw Data'!J3:J402)),VALUE('1. Raw Data'!J391)),0)</f>
        <v>13.58</v>
      </c>
      <c r="N391" s="28">
        <f>'1. Raw Data'!K391</f>
        <v>12</v>
      </c>
      <c r="O391" s="29">
        <f t="shared" si="27"/>
        <v>0</v>
      </c>
      <c r="P391" s="28">
        <f>'1. Raw Data'!L391</f>
        <v>22</v>
      </c>
      <c r="Q391" s="27" t="str">
        <f>TRIM('1. Raw Data'!M391)</f>
        <v>Premium</v>
      </c>
    </row>
    <row r="392" spans="1:17" ht="16.5" customHeight="1" x14ac:dyDescent="0.45">
      <c r="A392" s="31" t="str">
        <f>'1. Raw Data'!A392</f>
        <v>TXN-100390</v>
      </c>
      <c r="B392" s="32">
        <f>IFERROR(DATEVALUE('1. Raw Data'!B392),"")</f>
        <v>45477</v>
      </c>
      <c r="C392" s="33" t="str">
        <f t="shared" si="24"/>
        <v>Jul</v>
      </c>
      <c r="D392" s="33" t="str">
        <f t="shared" si="25"/>
        <v>Q3</v>
      </c>
      <c r="E392" s="34">
        <f t="shared" si="26"/>
        <v>2024</v>
      </c>
      <c r="F392" s="31" t="str">
        <f>PROPER(TRIM('1. Raw Data'!C392))</f>
        <v>Downtown</v>
      </c>
      <c r="G392" s="31" t="str">
        <f>TRIM('1. Raw Data'!D392)</f>
        <v>Auto Loan</v>
      </c>
      <c r="H392" s="31" t="str">
        <f>TRIM('1. Raw Data'!E392)</f>
        <v>Loans</v>
      </c>
      <c r="I392" s="31" t="str">
        <f>TRIM('1. Raw Data'!F392)</f>
        <v>James Patel</v>
      </c>
      <c r="J392" s="33" t="str">
        <f>PROPER(TRIM('1. Raw Data'!G392))</f>
        <v>Pending</v>
      </c>
      <c r="K392" s="33" t="str">
        <f>TRIM('1. Raw Data'!H392)</f>
        <v>High</v>
      </c>
      <c r="L392" s="35">
        <f>IFERROR(IF('1. Raw Data'!I392="",AVERAGE(IF('1. Raw Data'!I3:I402&lt;&gt;"",'1. Raw Data'!I3:I402)),VALUE('1. Raw Data'!I392)),0)</f>
        <v>143498.82999999999</v>
      </c>
      <c r="M392" s="36">
        <f>IFERROR(IF('1. Raw Data'!J392="",AVERAGE(IF('1. Raw Data'!J3:J402&lt;&gt;"",'1. Raw Data'!J3:J402)),VALUE('1. Raw Data'!J392)),0)</f>
        <v>5.08</v>
      </c>
      <c r="N392" s="34">
        <f>'1. Raw Data'!K392</f>
        <v>180</v>
      </c>
      <c r="O392" s="35">
        <f t="shared" si="27"/>
        <v>1140.7687091696998</v>
      </c>
      <c r="P392" s="34">
        <f>'1. Raw Data'!L392</f>
        <v>35</v>
      </c>
      <c r="Q392" s="33" t="str">
        <f>TRIM('1. Raw Data'!M392)</f>
        <v>Premium</v>
      </c>
    </row>
    <row r="393" spans="1:17" ht="16.5" customHeight="1" x14ac:dyDescent="0.45">
      <c r="A393" s="25" t="str">
        <f>'1. Raw Data'!A393</f>
        <v>TXN-100391</v>
      </c>
      <c r="B393" s="26">
        <f>IFERROR(DATEVALUE('1. Raw Data'!B393),"")</f>
        <v>45518</v>
      </c>
      <c r="C393" s="27" t="str">
        <f t="shared" si="24"/>
        <v>Aug</v>
      </c>
      <c r="D393" s="27" t="str">
        <f t="shared" si="25"/>
        <v>Q3</v>
      </c>
      <c r="E393" s="28">
        <f t="shared" si="26"/>
        <v>2024</v>
      </c>
      <c r="F393" s="25" t="str">
        <f>PROPER(TRIM('1. Raw Data'!C393))</f>
        <v>Uptown</v>
      </c>
      <c r="G393" s="25" t="str">
        <f>TRIM('1. Raw Data'!D393)</f>
        <v>Mortgage</v>
      </c>
      <c r="H393" s="25" t="str">
        <f>TRIM('1. Raw Data'!E393)</f>
        <v>Loans</v>
      </c>
      <c r="I393" s="25" t="str">
        <f>TRIM('1. Raw Data'!F393)</f>
        <v>Maria Lopez</v>
      </c>
      <c r="J393" s="27" t="str">
        <f>PROPER(TRIM('1. Raw Data'!G393))</f>
        <v>Active</v>
      </c>
      <c r="K393" s="27" t="str">
        <f>TRIM('1. Raw Data'!H393)</f>
        <v>High</v>
      </c>
      <c r="L393" s="29">
        <f>IFERROR(IF('1. Raw Data'!I393="",AVERAGE(IF('1. Raw Data'!I3:I402&lt;&gt;"",'1. Raw Data'!I3:I402)),VALUE('1. Raw Data'!I393)),0)</f>
        <v>156339.13</v>
      </c>
      <c r="M393" s="30">
        <f>IFERROR(IF('1. Raw Data'!J393="",AVERAGE(IF('1. Raw Data'!J3:J402&lt;&gt;"",'1. Raw Data'!J3:J402)),VALUE('1. Raw Data'!J393)),0)</f>
        <v>12.81</v>
      </c>
      <c r="N393" s="28">
        <f>'1. Raw Data'!K393</f>
        <v>240</v>
      </c>
      <c r="O393" s="29">
        <f t="shared" si="27"/>
        <v>1810.511217650198</v>
      </c>
      <c r="P393" s="28">
        <f>'1. Raw Data'!L393</f>
        <v>28</v>
      </c>
      <c r="Q393" s="27" t="str">
        <f>TRIM('1. Raw Data'!M393)</f>
        <v>Premium</v>
      </c>
    </row>
    <row r="394" spans="1:17" ht="16.5" customHeight="1" x14ac:dyDescent="0.45">
      <c r="A394" s="31" t="str">
        <f>'1. Raw Data'!A394</f>
        <v>TXN-100392</v>
      </c>
      <c r="B394" s="32">
        <f>IFERROR(DATEVALUE('1. Raw Data'!B394),"")</f>
        <v>45459</v>
      </c>
      <c r="C394" s="33" t="str">
        <f t="shared" si="24"/>
        <v>Jun</v>
      </c>
      <c r="D394" s="33" t="str">
        <f t="shared" si="25"/>
        <v>Q2</v>
      </c>
      <c r="E394" s="34">
        <f t="shared" si="26"/>
        <v>2024</v>
      </c>
      <c r="F394" s="31" t="str">
        <f>PROPER(TRIM('1. Raw Data'!C394))</f>
        <v>Northpark</v>
      </c>
      <c r="G394" s="31" t="str">
        <f>TRIM('1. Raw Data'!D394)</f>
        <v>Personal Loan</v>
      </c>
      <c r="H394" s="31" t="str">
        <f>TRIM('1. Raw Data'!E394)</f>
        <v>Loans</v>
      </c>
      <c r="I394" s="31" t="str">
        <f>TRIM('1. Raw Data'!F394)</f>
        <v>Maria Lopez</v>
      </c>
      <c r="J394" s="33" t="str">
        <f>PROPER(TRIM('1. Raw Data'!G394))</f>
        <v>Active</v>
      </c>
      <c r="K394" s="33" t="str">
        <f>TRIM('1. Raw Data'!H394)</f>
        <v>Medium</v>
      </c>
      <c r="L394" s="35">
        <f>IFERROR(IF('1. Raw Data'!I394="",AVERAGE(IF('1. Raw Data'!I3:I402&lt;&gt;"",'1. Raw Data'!I3:I402)),VALUE('1. Raw Data'!I394)),0)</f>
        <v>245205.87</v>
      </c>
      <c r="M394" s="36">
        <f>IFERROR(IF('1. Raw Data'!J394="",AVERAGE(IF('1. Raw Data'!J3:J402&lt;&gt;"",'1. Raw Data'!J3:J402)),VALUE('1. Raw Data'!J394)),0)</f>
        <v>10.41</v>
      </c>
      <c r="N394" s="34">
        <f>'1. Raw Data'!K394</f>
        <v>36</v>
      </c>
      <c r="O394" s="35">
        <f t="shared" si="27"/>
        <v>7959.3879950883111</v>
      </c>
      <c r="P394" s="34">
        <f>'1. Raw Data'!L394</f>
        <v>71</v>
      </c>
      <c r="Q394" s="33" t="str">
        <f>TRIM('1. Raw Data'!M394)</f>
        <v>Premium</v>
      </c>
    </row>
    <row r="395" spans="1:17" ht="16.5" customHeight="1" x14ac:dyDescent="0.45">
      <c r="A395" s="25" t="str">
        <f>'1. Raw Data'!A395</f>
        <v>TXN-100393</v>
      </c>
      <c r="B395" s="26">
        <f>IFERROR(DATEVALUE('1. Raw Data'!B395),"")</f>
        <v>45636</v>
      </c>
      <c r="C395" s="27" t="str">
        <f t="shared" si="24"/>
        <v>Dec</v>
      </c>
      <c r="D395" s="27" t="str">
        <f t="shared" si="25"/>
        <v>Q4</v>
      </c>
      <c r="E395" s="28">
        <f t="shared" si="26"/>
        <v>2024</v>
      </c>
      <c r="F395" s="25" t="str">
        <f>PROPER(TRIM('1. Raw Data'!C395))</f>
        <v>Downtown</v>
      </c>
      <c r="G395" s="25" t="str">
        <f>TRIM('1. Raw Data'!D395)</f>
        <v>Fixed Deposit</v>
      </c>
      <c r="H395" s="25" t="str">
        <f>TRIM('1. Raw Data'!E395)</f>
        <v>Deposits</v>
      </c>
      <c r="I395" s="25" t="str">
        <f>TRIM('1. Raw Data'!F395)</f>
        <v>Rachel Moore</v>
      </c>
      <c r="J395" s="27" t="str">
        <f>PROPER(TRIM('1. Raw Data'!G395))</f>
        <v>Active</v>
      </c>
      <c r="K395" s="27" t="str">
        <f>TRIM('1. Raw Data'!H395)</f>
        <v>High</v>
      </c>
      <c r="L395" s="29">
        <f>IFERROR(IF('1. Raw Data'!I395="",AVERAGE(IF('1. Raw Data'!I3:I402&lt;&gt;"",'1. Raw Data'!I3:I402)),VALUE('1. Raw Data'!I395)),0)</f>
        <v>171922.25</v>
      </c>
      <c r="M395" s="30">
        <f>IFERROR(IF('1. Raw Data'!J395="",AVERAGE(IF('1. Raw Data'!J3:J402&lt;&gt;"",'1. Raw Data'!J3:J402)),VALUE('1. Raw Data'!J395)),0)</f>
        <v>8.74</v>
      </c>
      <c r="N395" s="28">
        <f>'1. Raw Data'!K395</f>
        <v>36</v>
      </c>
      <c r="O395" s="29">
        <f t="shared" si="27"/>
        <v>5446.301493702972</v>
      </c>
      <c r="P395" s="28">
        <f>'1. Raw Data'!L395</f>
        <v>34</v>
      </c>
      <c r="Q395" s="27" t="str">
        <f>TRIM('1. Raw Data'!M395)</f>
        <v>Premium</v>
      </c>
    </row>
    <row r="396" spans="1:17" ht="16.5" customHeight="1" x14ac:dyDescent="0.45">
      <c r="A396" s="31" t="str">
        <f>'1. Raw Data'!A396</f>
        <v>TXN-100394</v>
      </c>
      <c r="B396" s="32">
        <f>IFERROR(DATEVALUE('1. Raw Data'!B396),"")</f>
        <v>45476</v>
      </c>
      <c r="C396" s="33" t="str">
        <f t="shared" si="24"/>
        <v>Jul</v>
      </c>
      <c r="D396" s="33" t="str">
        <f t="shared" si="25"/>
        <v>Q3</v>
      </c>
      <c r="E396" s="34">
        <f t="shared" si="26"/>
        <v>2024</v>
      </c>
      <c r="F396" s="31" t="str">
        <f>PROPER(TRIM('1. Raw Data'!C396))</f>
        <v>Eastgate</v>
      </c>
      <c r="G396" s="31" t="str">
        <f>TRIM('1. Raw Data'!D396)</f>
        <v>Personal Loan</v>
      </c>
      <c r="H396" s="31" t="str">
        <f>TRIM('1. Raw Data'!E396)</f>
        <v>Loans</v>
      </c>
      <c r="I396" s="31" t="str">
        <f>TRIM('1. Raw Data'!F396)</f>
        <v>Maria Lopez</v>
      </c>
      <c r="J396" s="33" t="str">
        <f>PROPER(TRIM('1. Raw Data'!G396))</f>
        <v>Active</v>
      </c>
      <c r="K396" s="33" t="str">
        <f>TRIM('1. Raw Data'!H396)</f>
        <v>Low</v>
      </c>
      <c r="L396" s="35">
        <f>IFERROR(IF('1. Raw Data'!I396="",AVERAGE(IF('1. Raw Data'!I3:I402&lt;&gt;"",'1. Raw Data'!I3:I402)),VALUE('1. Raw Data'!I396)),0)</f>
        <v>190203.19</v>
      </c>
      <c r="M396" s="36">
        <f>IFERROR(IF('1. Raw Data'!J396="",AVERAGE(IF('1. Raw Data'!J3:J402&lt;&gt;"",'1. Raw Data'!J3:J402)),VALUE('1. Raw Data'!J396)),0)</f>
        <v>5.57</v>
      </c>
      <c r="N396" s="34">
        <f>'1. Raw Data'!K396</f>
        <v>240</v>
      </c>
      <c r="O396" s="35">
        <f t="shared" si="27"/>
        <v>1315.9148510427647</v>
      </c>
      <c r="P396" s="34">
        <f>'1. Raw Data'!L396</f>
        <v>49</v>
      </c>
      <c r="Q396" s="33" t="str">
        <f>TRIM('1. Raw Data'!M396)</f>
        <v>Premium</v>
      </c>
    </row>
    <row r="397" spans="1:17" ht="16.5" customHeight="1" x14ac:dyDescent="0.45">
      <c r="A397" s="25" t="str">
        <f>'1. Raw Data'!A397</f>
        <v>TXN-100395</v>
      </c>
      <c r="B397" s="26">
        <f>IFERROR(DATEVALUE('1. Raw Data'!B397),"")</f>
        <v>45500</v>
      </c>
      <c r="C397" s="27" t="str">
        <f t="shared" si="24"/>
        <v>Jul</v>
      </c>
      <c r="D397" s="27" t="str">
        <f t="shared" si="25"/>
        <v>Q3</v>
      </c>
      <c r="E397" s="28">
        <f t="shared" si="26"/>
        <v>2024</v>
      </c>
      <c r="F397" s="25" t="str">
        <f>PROPER(TRIM('1. Raw Data'!C397))</f>
        <v>Downtown</v>
      </c>
      <c r="G397" s="25" t="str">
        <f>TRIM('1. Raw Data'!D397)</f>
        <v>Fixed Deposit</v>
      </c>
      <c r="H397" s="25" t="str">
        <f>TRIM('1. Raw Data'!E397)</f>
        <v>Deposits</v>
      </c>
      <c r="I397" s="25" t="str">
        <f>TRIM('1. Raw Data'!F397)</f>
        <v>Maria Lopez</v>
      </c>
      <c r="J397" s="27" t="str">
        <f>PROPER(TRIM('1. Raw Data'!G397))</f>
        <v>Active</v>
      </c>
      <c r="K397" s="27" t="str">
        <f>TRIM('1. Raw Data'!H397)</f>
        <v>Medium</v>
      </c>
      <c r="L397" s="29">
        <f>IFERROR(IF('1. Raw Data'!I397="",AVERAGE(IF('1. Raw Data'!I3:I402&lt;&gt;"",'1. Raw Data'!I3:I402)),VALUE('1. Raw Data'!I397)),0)</f>
        <v>112089.37</v>
      </c>
      <c r="M397" s="30">
        <f>IFERROR(IF('1. Raw Data'!J397="",AVERAGE(IF('1. Raw Data'!J3:J402&lt;&gt;"",'1. Raw Data'!J3:J402)),VALUE('1. Raw Data'!J397)),0)</f>
        <v>9.42</v>
      </c>
      <c r="N397" s="28">
        <f>'1. Raw Data'!K397</f>
        <v>60</v>
      </c>
      <c r="O397" s="29">
        <f t="shared" si="27"/>
        <v>2349.7056434124643</v>
      </c>
      <c r="P397" s="28">
        <f>'1. Raw Data'!L397</f>
        <v>22</v>
      </c>
      <c r="Q397" s="27" t="str">
        <f>TRIM('1. Raw Data'!M397)</f>
        <v>Premium</v>
      </c>
    </row>
    <row r="398" spans="1:17" ht="16.5" customHeight="1" x14ac:dyDescent="0.45">
      <c r="A398" s="31" t="str">
        <f>'1. Raw Data'!A398</f>
        <v>TXN-100396</v>
      </c>
      <c r="B398" s="32">
        <f>IFERROR(DATEVALUE('1. Raw Data'!B398),"")</f>
        <v>45539</v>
      </c>
      <c r="C398" s="33" t="str">
        <f t="shared" si="24"/>
        <v>Sep</v>
      </c>
      <c r="D398" s="33" t="str">
        <f t="shared" si="25"/>
        <v>Q3</v>
      </c>
      <c r="E398" s="34">
        <f t="shared" si="26"/>
        <v>2024</v>
      </c>
      <c r="F398" s="31" t="str">
        <f>PROPER(TRIM('1. Raw Data'!C398))</f>
        <v>Downtown</v>
      </c>
      <c r="G398" s="31" t="str">
        <f>TRIM('1. Raw Data'!D398)</f>
        <v>Auto Loan</v>
      </c>
      <c r="H398" s="31" t="str">
        <f>TRIM('1. Raw Data'!E398)</f>
        <v>Loans</v>
      </c>
      <c r="I398" s="31" t="str">
        <f>TRIM('1. Raw Data'!F398)</f>
        <v>Sarah Chen</v>
      </c>
      <c r="J398" s="33" t="str">
        <f>PROPER(TRIM('1. Raw Data'!G398))</f>
        <v>Active</v>
      </c>
      <c r="K398" s="33" t="str">
        <f>TRIM('1. Raw Data'!H398)</f>
        <v>High</v>
      </c>
      <c r="L398" s="35">
        <f>IFERROR(IF('1. Raw Data'!I398="",AVERAGE(IF('1. Raw Data'!I3:I402&lt;&gt;"",'1. Raw Data'!I3:I402)),VALUE('1. Raw Data'!I398)),0)</f>
        <v>82548.27</v>
      </c>
      <c r="M398" s="36">
        <f>IFERROR(IF('1. Raw Data'!J398="",AVERAGE(IF('1. Raw Data'!J3:J402&lt;&gt;"",'1. Raw Data'!J3:J402)),VALUE('1. Raw Data'!J398)),0)</f>
        <v>13.53</v>
      </c>
      <c r="N398" s="34">
        <f>'1. Raw Data'!K398</f>
        <v>240</v>
      </c>
      <c r="O398" s="35">
        <f t="shared" si="27"/>
        <v>998.44924776418418</v>
      </c>
      <c r="P398" s="34">
        <f>'1. Raw Data'!L398</f>
        <v>41</v>
      </c>
      <c r="Q398" s="33" t="str">
        <f>TRIM('1. Raw Data'!M398)</f>
        <v>Standard</v>
      </c>
    </row>
    <row r="399" spans="1:17" ht="16.5" customHeight="1" x14ac:dyDescent="0.45">
      <c r="A399" s="25" t="str">
        <f>'1. Raw Data'!A399</f>
        <v>TXN-100397</v>
      </c>
      <c r="B399" s="26">
        <f>IFERROR(DATEVALUE('1. Raw Data'!B399),"")</f>
        <v>45551</v>
      </c>
      <c r="C399" s="27" t="str">
        <f t="shared" si="24"/>
        <v>Sep</v>
      </c>
      <c r="D399" s="27" t="str">
        <f t="shared" si="25"/>
        <v>Q3</v>
      </c>
      <c r="E399" s="28">
        <f t="shared" si="26"/>
        <v>2024</v>
      </c>
      <c r="F399" s="25" t="str">
        <f>PROPER(TRIM('1. Raw Data'!C399))</f>
        <v>Westside</v>
      </c>
      <c r="G399" s="25" t="str">
        <f>TRIM('1. Raw Data'!D399)</f>
        <v>Auto Loan</v>
      </c>
      <c r="H399" s="25" t="str">
        <f>TRIM('1. Raw Data'!E399)</f>
        <v>Loans</v>
      </c>
      <c r="I399" s="25" t="str">
        <f>TRIM('1. Raw Data'!F399)</f>
        <v>James Patel</v>
      </c>
      <c r="J399" s="27" t="str">
        <f>PROPER(TRIM('1. Raw Data'!G399))</f>
        <v>Pending</v>
      </c>
      <c r="K399" s="27" t="str">
        <f>TRIM('1. Raw Data'!H399)</f>
        <v>Medium</v>
      </c>
      <c r="L399" s="29">
        <f>IFERROR(IF('1. Raw Data'!I399="",AVERAGE(IF('1. Raw Data'!I3:I402&lt;&gt;"",'1. Raw Data'!I3:I402)),VALUE('1. Raw Data'!I399)),0)</f>
        <v>35431.22</v>
      </c>
      <c r="M399" s="30">
        <f>IFERROR(IF('1. Raw Data'!J399="",AVERAGE(IF('1. Raw Data'!J3:J402&lt;&gt;"",'1. Raw Data'!J3:J402)),VALUE('1. Raw Data'!J399)),0)</f>
        <v>13.75</v>
      </c>
      <c r="N399" s="28">
        <f>'1. Raw Data'!K399</f>
        <v>12</v>
      </c>
      <c r="O399" s="29">
        <f t="shared" si="27"/>
        <v>3177.1008528244215</v>
      </c>
      <c r="P399" s="28">
        <f>'1. Raw Data'!L399</f>
        <v>49</v>
      </c>
      <c r="Q399" s="27" t="str">
        <f>TRIM('1. Raw Data'!M399)</f>
        <v>Standard</v>
      </c>
    </row>
    <row r="400" spans="1:17" ht="16.5" customHeight="1" x14ac:dyDescent="0.45">
      <c r="A400" s="31" t="str">
        <f>'1. Raw Data'!A400</f>
        <v>TXN-100398</v>
      </c>
      <c r="B400" s="32">
        <f>IFERROR(DATEVALUE('1. Raw Data'!B400),"")</f>
        <v>45347</v>
      </c>
      <c r="C400" s="33" t="str">
        <f t="shared" si="24"/>
        <v>Feb</v>
      </c>
      <c r="D400" s="33" t="str">
        <f t="shared" si="25"/>
        <v>Q1</v>
      </c>
      <c r="E400" s="34">
        <f t="shared" si="26"/>
        <v>2024</v>
      </c>
      <c r="F400" s="31" t="str">
        <f>PROPER(TRIM('1. Raw Data'!C400))</f>
        <v>Downtown</v>
      </c>
      <c r="G400" s="31" t="str">
        <f>TRIM('1. Raw Data'!D400)</f>
        <v>Credit Card</v>
      </c>
      <c r="H400" s="31" t="str">
        <f>TRIM('1. Raw Data'!E400)</f>
        <v>Cards</v>
      </c>
      <c r="I400" s="31" t="str">
        <f>TRIM('1. Raw Data'!F400)</f>
        <v>David Kim</v>
      </c>
      <c r="J400" s="33" t="str">
        <f>PROPER(TRIM('1. Raw Data'!G400))</f>
        <v>Active</v>
      </c>
      <c r="K400" s="33" t="str">
        <f>TRIM('1. Raw Data'!H400)</f>
        <v>Low</v>
      </c>
      <c r="L400" s="35">
        <f>IFERROR(IF('1. Raw Data'!I400="",AVERAGE(IF('1. Raw Data'!I3:I402&lt;&gt;"",'1. Raw Data'!I3:I402)),VALUE('1. Raw Data'!I400)),0)</f>
        <v>194511.44</v>
      </c>
      <c r="M400" s="36">
        <f>IFERROR(IF('1. Raw Data'!J400="",AVERAGE(IF('1. Raw Data'!J3:J402&lt;&gt;"",'1. Raw Data'!J3:J402)),VALUE('1. Raw Data'!J400)),0)</f>
        <v>11.64</v>
      </c>
      <c r="N400" s="34">
        <f>'1. Raw Data'!K400</f>
        <v>36</v>
      </c>
      <c r="O400" s="35">
        <f t="shared" si="27"/>
        <v>6427.1693935110943</v>
      </c>
      <c r="P400" s="34">
        <f>'1. Raw Data'!L400</f>
        <v>67</v>
      </c>
      <c r="Q400" s="33" t="str">
        <f>TRIM('1. Raw Data'!M400)</f>
        <v>Premium</v>
      </c>
    </row>
    <row r="401" spans="1:17" ht="16.5" customHeight="1" x14ac:dyDescent="0.45">
      <c r="A401" s="25" t="str">
        <f>'1. Raw Data'!A401</f>
        <v>TXN-100399</v>
      </c>
      <c r="B401" s="26">
        <f>IFERROR(DATEVALUE('1. Raw Data'!B401),"")</f>
        <v>45514</v>
      </c>
      <c r="C401" s="27" t="str">
        <f t="shared" si="24"/>
        <v>Aug</v>
      </c>
      <c r="D401" s="27" t="str">
        <f t="shared" si="25"/>
        <v>Q3</v>
      </c>
      <c r="E401" s="28">
        <f t="shared" si="26"/>
        <v>2024</v>
      </c>
      <c r="F401" s="25" t="str">
        <f>PROPER(TRIM('1. Raw Data'!C401))</f>
        <v>Uptown</v>
      </c>
      <c r="G401" s="25" t="str">
        <f>TRIM('1. Raw Data'!D401)</f>
        <v>Credit Card</v>
      </c>
      <c r="H401" s="25" t="str">
        <f>TRIM('1. Raw Data'!E401)</f>
        <v>Cards</v>
      </c>
      <c r="I401" s="25" t="str">
        <f>TRIM('1. Raw Data'!F401)</f>
        <v>Sarah Chen</v>
      </c>
      <c r="J401" s="27" t="str">
        <f>PROPER(TRIM('1. Raw Data'!G401))</f>
        <v>Active</v>
      </c>
      <c r="K401" s="27" t="str">
        <f>TRIM('1. Raw Data'!H401)</f>
        <v>Low</v>
      </c>
      <c r="L401" s="29">
        <f>IFERROR(IF('1. Raw Data'!I401="",AVERAGE(IF('1. Raw Data'!I3:I402&lt;&gt;"",'1. Raw Data'!I3:I402)),VALUE('1. Raw Data'!I401)),0)</f>
        <v>140827.5</v>
      </c>
      <c r="M401" s="30">
        <f>IFERROR(IF('1. Raw Data'!J401="",AVERAGE(IF('1. Raw Data'!J3:J402&lt;&gt;"",'1. Raw Data'!J3:J402)),VALUE('1. Raw Data'!J401)),0)</f>
        <v>13.11</v>
      </c>
      <c r="N401" s="28">
        <f>'1. Raw Data'!K401</f>
        <v>180</v>
      </c>
      <c r="O401" s="29">
        <f t="shared" si="27"/>
        <v>1792.0140834026258</v>
      </c>
      <c r="P401" s="28">
        <f>'1. Raw Data'!L401</f>
        <v>64</v>
      </c>
      <c r="Q401" s="27" t="str">
        <f>TRIM('1. Raw Data'!M401)</f>
        <v>Premium</v>
      </c>
    </row>
    <row r="402" spans="1:17" ht="16.5" customHeight="1" x14ac:dyDescent="0.45">
      <c r="A402" s="31" t="str">
        <f>'1. Raw Data'!A402</f>
        <v>TXN-100400</v>
      </c>
      <c r="B402" s="32">
        <f>IFERROR(DATEVALUE('1. Raw Data'!B402),"")</f>
        <v>45561</v>
      </c>
      <c r="C402" s="33" t="str">
        <f t="shared" si="24"/>
        <v>Sep</v>
      </c>
      <c r="D402" s="33" t="str">
        <f t="shared" si="25"/>
        <v>Q3</v>
      </c>
      <c r="E402" s="34">
        <f t="shared" si="26"/>
        <v>2024</v>
      </c>
      <c r="F402" s="31" t="str">
        <f>PROPER(TRIM('1. Raw Data'!C402))</f>
        <v>Northpark</v>
      </c>
      <c r="G402" s="31" t="str">
        <f>TRIM('1. Raw Data'!D402)</f>
        <v>Savings Account</v>
      </c>
      <c r="H402" s="31" t="str">
        <f>TRIM('1. Raw Data'!E402)</f>
        <v>Deposits</v>
      </c>
      <c r="I402" s="31" t="str">
        <f>TRIM('1. Raw Data'!F402)</f>
        <v>Maria Lopez</v>
      </c>
      <c r="J402" s="33" t="str">
        <f>PROPER(TRIM('1. Raw Data'!G402))</f>
        <v>Active</v>
      </c>
      <c r="K402" s="33" t="str">
        <f>TRIM('1. Raw Data'!H402)</f>
        <v>Medium</v>
      </c>
      <c r="L402" s="35">
        <f>IFERROR(IF('1. Raw Data'!I402="",AVERAGE(IF('1. Raw Data'!I3:I402&lt;&gt;"",'1. Raw Data'!I3:I402)),VALUE('1. Raw Data'!I402)),0)</f>
        <v>45852.51</v>
      </c>
      <c r="M402" s="36">
        <f>IFERROR(IF('1. Raw Data'!J402="",AVERAGE(IF('1. Raw Data'!J3:J402&lt;&gt;"",'1. Raw Data'!J3:J402)),VALUE('1. Raw Data'!J402)),0)</f>
        <v>4.72</v>
      </c>
      <c r="N402" s="34">
        <f>'1. Raw Data'!K402</f>
        <v>6</v>
      </c>
      <c r="O402" s="35">
        <f t="shared" si="27"/>
        <v>7747.6351991561824</v>
      </c>
      <c r="P402" s="34">
        <f>'1. Raw Data'!L402</f>
        <v>74</v>
      </c>
      <c r="Q402" s="33" t="str">
        <f>TRIM('1. Raw Data'!M402)</f>
        <v>Standard</v>
      </c>
    </row>
    <row r="403" spans="1:17" ht="13.5" customHeight="1" x14ac:dyDescent="0.45">
      <c r="A403" s="8" t="s">
        <v>796</v>
      </c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 spans="1:17" ht="13.5" customHeight="1" x14ac:dyDescent="0.4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 spans="1:17" ht="13.5" customHeight="1" x14ac:dyDescent="0.4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 spans="1:17" ht="13.5" customHeight="1" x14ac:dyDescent="0.4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 spans="1:17" ht="13.5" customHeight="1" x14ac:dyDescent="0.4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 spans="1:17" ht="13.5" customHeight="1" x14ac:dyDescent="0.4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</sheetData>
  <autoFilter ref="A2:Q402" xr:uid="{00000000-0009-0000-0000-000002000000}"/>
  <mergeCells count="2">
    <mergeCell ref="A1:Q1"/>
    <mergeCell ref="A403:Q40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0"/>
  <sheetViews>
    <sheetView topLeftCell="A28" zoomScaleNormal="100" workbookViewId="0">
      <selection activeCell="C38" sqref="C38"/>
    </sheetView>
  </sheetViews>
  <sheetFormatPr defaultColWidth="8.6640625" defaultRowHeight="14.25" x14ac:dyDescent="0.45"/>
  <cols>
    <col min="1" max="1" width="2" customWidth="1"/>
    <col min="2" max="2" width="14" customWidth="1"/>
    <col min="3" max="9" width="16" customWidth="1"/>
    <col min="10" max="10" width="2" customWidth="1"/>
    <col min="11" max="18" width="16" customWidth="1"/>
    <col min="19" max="19" width="2" customWidth="1"/>
  </cols>
  <sheetData>
    <row r="1" spans="1:18" ht="36" customHeight="1" x14ac:dyDescent="0.45">
      <c r="A1" s="7" t="s">
        <v>797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3" spans="1:18" ht="21.75" customHeight="1" x14ac:dyDescent="0.45">
      <c r="A3" s="6" t="s">
        <v>798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24" customHeight="1" x14ac:dyDescent="0.45">
      <c r="B4" s="5" t="s">
        <v>799</v>
      </c>
      <c r="C4" s="5"/>
      <c r="D4" s="5"/>
      <c r="E4" s="5"/>
      <c r="F4" s="4" t="s">
        <v>800</v>
      </c>
      <c r="G4" s="4"/>
      <c r="H4" s="4"/>
      <c r="I4" s="4"/>
      <c r="K4" s="3" t="s">
        <v>801</v>
      </c>
      <c r="L4" s="3"/>
      <c r="M4" s="3"/>
      <c r="N4" s="3"/>
      <c r="O4" s="2" t="s">
        <v>802</v>
      </c>
      <c r="P4" s="2"/>
      <c r="Q4" s="2"/>
      <c r="R4" s="2"/>
    </row>
    <row r="5" spans="1:18" ht="30" customHeight="1" x14ac:dyDescent="0.45">
      <c r="B5" s="1">
        <f>SUMIF('2. Clean Data'!J3:J402,"Active",'2. Clean Data'!L3:L402)</f>
        <v>35627697.440000005</v>
      </c>
      <c r="C5" s="1"/>
      <c r="D5" s="1"/>
      <c r="E5" s="1"/>
      <c r="F5" s="89">
        <f>COUNTA('2. Clean Data'!A3:A402)</f>
        <v>400</v>
      </c>
      <c r="G5" s="89"/>
      <c r="H5" s="89"/>
      <c r="I5" s="89"/>
      <c r="K5" s="90">
        <f>AVERAGEIF('2. Clean Data'!H3:H402,"Loans",'2. Clean Data'!L3:L402)</f>
        <v>114962.51470000009</v>
      </c>
      <c r="L5" s="90"/>
      <c r="M5" s="90"/>
      <c r="N5" s="90"/>
      <c r="O5" s="91">
        <f>AVERAGE('2. Clean Data'!M3:M402)</f>
        <v>8.0697749999999999</v>
      </c>
      <c r="P5" s="91"/>
      <c r="Q5" s="91"/>
      <c r="R5" s="91"/>
    </row>
    <row r="6" spans="1:18" ht="24" customHeight="1" x14ac:dyDescent="0.45">
      <c r="B6" s="1"/>
      <c r="C6" s="1"/>
      <c r="D6" s="1"/>
      <c r="E6" s="1"/>
      <c r="F6" s="89"/>
      <c r="G6" s="89"/>
      <c r="H6" s="89"/>
      <c r="I6" s="89"/>
      <c r="K6" s="90"/>
      <c r="L6" s="90"/>
      <c r="M6" s="90"/>
      <c r="N6" s="90"/>
      <c r="O6" s="91"/>
      <c r="P6" s="91"/>
      <c r="Q6" s="91"/>
      <c r="R6" s="91"/>
    </row>
    <row r="7" spans="1:18" ht="7.5" customHeight="1" x14ac:dyDescent="0.45"/>
    <row r="8" spans="1:18" ht="21.75" customHeight="1" x14ac:dyDescent="0.45">
      <c r="B8" s="6" t="s">
        <v>803</v>
      </c>
      <c r="C8" s="6"/>
      <c r="D8" s="6"/>
      <c r="E8" s="6"/>
      <c r="F8" s="6"/>
      <c r="G8" s="6"/>
      <c r="H8" s="6"/>
      <c r="I8" s="6"/>
      <c r="K8" s="6" t="s">
        <v>804</v>
      </c>
      <c r="L8" s="6"/>
      <c r="M8" s="6"/>
      <c r="N8" s="6"/>
      <c r="O8" s="6"/>
      <c r="P8" s="6"/>
      <c r="Q8" s="6"/>
      <c r="R8" s="6"/>
    </row>
    <row r="9" spans="1:18" ht="27.75" customHeight="1" x14ac:dyDescent="0.45">
      <c r="B9" s="37" t="s">
        <v>96</v>
      </c>
      <c r="C9" s="37" t="s">
        <v>805</v>
      </c>
      <c r="D9" s="37" t="s">
        <v>806</v>
      </c>
      <c r="E9" s="37" t="s">
        <v>807</v>
      </c>
      <c r="F9" s="37" t="s">
        <v>808</v>
      </c>
      <c r="K9" s="37" t="s">
        <v>98</v>
      </c>
      <c r="L9" s="37" t="s">
        <v>805</v>
      </c>
      <c r="M9" s="37" t="s">
        <v>809</v>
      </c>
      <c r="N9" s="37" t="s">
        <v>810</v>
      </c>
      <c r="O9" s="37" t="s">
        <v>811</v>
      </c>
      <c r="P9" s="37" t="s">
        <v>808</v>
      </c>
    </row>
    <row r="10" spans="1:18" ht="19.5" customHeight="1" x14ac:dyDescent="0.45">
      <c r="B10" s="38" t="s">
        <v>147</v>
      </c>
      <c r="C10" s="39">
        <f>SUMIF('2. Clean Data'!F3:F402,B10,'2. Clean Data'!L3:L402)</f>
        <v>9100452.3499999959</v>
      </c>
      <c r="D10" s="40">
        <f>COUNTIF('2. Clean Data'!F3:F402,B10)</f>
        <v>82</v>
      </c>
      <c r="E10" s="41">
        <f t="shared" ref="E10:E15" si="0">IFERROR(C10/D10,0)</f>
        <v>110981.12621951214</v>
      </c>
      <c r="F10" s="42">
        <f>IFERROR(C10/SUM(C10:C14),0)</f>
        <v>0.18812005065697113</v>
      </c>
      <c r="K10" s="38" t="s">
        <v>135</v>
      </c>
      <c r="L10" s="39">
        <f>SUMIF('2. Clean Data'!H3:H402,K10,'2. Clean Data'!L3:L402)</f>
        <v>18786958.630000014</v>
      </c>
      <c r="M10" s="40">
        <f>COUNTIF('2. Clean Data'!H3:H402,K10)</f>
        <v>145</v>
      </c>
      <c r="N10" s="43">
        <f>IFERROR(AVERAGEIF('2. Clean Data'!H3:H402,K10,'2. Clean Data'!M3:M402),0)</f>
        <v>8.0493103448275907</v>
      </c>
      <c r="O10" s="44">
        <f>IFERROR(AVERAGEIF('2. Clean Data'!H3:H402,K10,'2. Clean Data'!N3:N402),0)</f>
        <v>104.97931034482758</v>
      </c>
      <c r="P10" s="42">
        <f>IFERROR(L10/SUM(L10:L12),0)</f>
        <v>0.38835471834166818</v>
      </c>
    </row>
    <row r="11" spans="1:18" ht="19.5" customHeight="1" x14ac:dyDescent="0.45">
      <c r="B11" s="45" t="s">
        <v>144</v>
      </c>
      <c r="C11" s="46">
        <f>SUMIF('2. Clean Data'!F3:F402,B11,'2. Clean Data'!L3:L402)</f>
        <v>8389873.6099999994</v>
      </c>
      <c r="D11" s="47">
        <f>COUNTIF('2. Clean Data'!F3:F402,B11)</f>
        <v>69</v>
      </c>
      <c r="E11" s="48">
        <f t="shared" si="0"/>
        <v>121592.37115942028</v>
      </c>
      <c r="F11" s="49">
        <f>IFERROR(C11/SUM(C10:C14),0)</f>
        <v>0.17343131833647651</v>
      </c>
      <c r="K11" s="45" t="s">
        <v>111</v>
      </c>
      <c r="L11" s="46">
        <f>SUMIF('2. Clean Data'!H3:H402,K11,'2. Clean Data'!L3:L402)</f>
        <v>22992502.940000016</v>
      </c>
      <c r="M11" s="47">
        <f>COUNTIF('2. Clean Data'!H3:H402,K11)</f>
        <v>200</v>
      </c>
      <c r="N11" s="50">
        <f>IFERROR(AVERAGEIF('2. Clean Data'!H3:H402,K11,'2. Clean Data'!M3:M402),0)</f>
        <v>8.1813999999999965</v>
      </c>
      <c r="O11" s="51">
        <f>IFERROR(AVERAGEIF('2. Clean Data'!H3:H402,K11,'2. Clean Data'!N3:N402),0)</f>
        <v>112.23</v>
      </c>
      <c r="P11" s="49">
        <f>IFERROR(L11/SUM(L10:L12),0)</f>
        <v>0.47528965060768208</v>
      </c>
    </row>
    <row r="12" spans="1:18" ht="19.5" customHeight="1" x14ac:dyDescent="0.45">
      <c r="B12" s="38" t="s">
        <v>124</v>
      </c>
      <c r="C12" s="39">
        <f>SUMIF('2. Clean Data'!F3:F402,B12,'2. Clean Data'!L3:L402)</f>
        <v>9999752.620000001</v>
      </c>
      <c r="D12" s="40">
        <f>COUNTIF('2. Clean Data'!F3:F402,B12)</f>
        <v>83</v>
      </c>
      <c r="E12" s="41">
        <f t="shared" si="0"/>
        <v>120478.94722891567</v>
      </c>
      <c r="F12" s="42">
        <f>IFERROR(C12/SUM(C10:C14),0)</f>
        <v>0.20670994111974894</v>
      </c>
      <c r="K12" s="38" t="s">
        <v>140</v>
      </c>
      <c r="L12" s="39">
        <f>SUMIF('2. Clean Data'!H3:H402,K12,'2. Clean Data'!L3:L402)</f>
        <v>6596308.6799999988</v>
      </c>
      <c r="M12" s="40">
        <f>COUNTIF('2. Clean Data'!H3:H402,K12)</f>
        <v>55</v>
      </c>
      <c r="N12" s="43">
        <f>IFERROR(AVERAGEIF('2. Clean Data'!H3:H402,K12,'2. Clean Data'!M3:M402),0)</f>
        <v>7.7178181818181821</v>
      </c>
      <c r="O12" s="44">
        <f>IFERROR(AVERAGEIF('2. Clean Data'!H3:H402,K12,'2. Clean Data'!N3:N402),0)</f>
        <v>116.07272727272728</v>
      </c>
      <c r="P12" s="42">
        <f>IFERROR(L12/SUM(L10:L12),0)</f>
        <v>0.13635563105064968</v>
      </c>
    </row>
    <row r="13" spans="1:18" ht="19.5" customHeight="1" x14ac:dyDescent="0.45">
      <c r="B13" s="45" t="s">
        <v>109</v>
      </c>
      <c r="C13" s="46">
        <f>SUMIF('2. Clean Data'!F3:F402,B13,'2. Clean Data'!L3:L402)</f>
        <v>11233971.91</v>
      </c>
      <c r="D13" s="47">
        <f>COUNTIF('2. Clean Data'!F3:F402,B13)</f>
        <v>94</v>
      </c>
      <c r="E13" s="48">
        <f t="shared" si="0"/>
        <v>119510.33946808511</v>
      </c>
      <c r="F13" s="49">
        <f>IFERROR(C13/SUM(C10:C14),0)</f>
        <v>0.23222311194104453</v>
      </c>
    </row>
    <row r="14" spans="1:18" ht="19.5" customHeight="1" x14ac:dyDescent="0.45">
      <c r="B14" s="38" t="s">
        <v>176</v>
      </c>
      <c r="C14" s="39">
        <f>SUMIF('2. Clean Data'!F3:F402,B14,'2. Clean Data'!L3:L402)</f>
        <v>9651719.7599999998</v>
      </c>
      <c r="D14" s="40">
        <f>COUNTIF('2. Clean Data'!F3:F402,B14)</f>
        <v>72</v>
      </c>
      <c r="E14" s="41">
        <f t="shared" si="0"/>
        <v>134051.66333333333</v>
      </c>
      <c r="F14" s="42">
        <f>IFERROR(C14/SUM(C10:C14),0)</f>
        <v>0.19951557794575894</v>
      </c>
    </row>
    <row r="15" spans="1:18" ht="19.5" customHeight="1" x14ac:dyDescent="0.45">
      <c r="B15" s="52" t="s">
        <v>812</v>
      </c>
      <c r="C15" s="53">
        <f>SUM(C10:C14)</f>
        <v>48375770.249999993</v>
      </c>
      <c r="D15" s="54">
        <f>SUM(D10:D14)</f>
        <v>400</v>
      </c>
      <c r="E15" s="55">
        <f t="shared" si="0"/>
        <v>120939.42562499997</v>
      </c>
      <c r="F15" s="56">
        <f>SUM(F10:F14)</f>
        <v>1</v>
      </c>
    </row>
    <row r="17" spans="2:18" ht="7.5" customHeight="1" x14ac:dyDescent="0.45"/>
    <row r="18" spans="2:18" ht="21.75" customHeight="1" x14ac:dyDescent="0.45">
      <c r="B18" s="6" t="s">
        <v>813</v>
      </c>
      <c r="C18" s="6"/>
      <c r="D18" s="6"/>
      <c r="E18" s="6"/>
      <c r="F18" s="6"/>
      <c r="G18" s="6"/>
      <c r="H18" s="6"/>
      <c r="I18" s="6"/>
      <c r="K18" s="6" t="s">
        <v>814</v>
      </c>
      <c r="L18" s="6"/>
      <c r="M18" s="6"/>
      <c r="N18" s="6"/>
      <c r="O18" s="6"/>
      <c r="P18" s="6"/>
      <c r="Q18" s="6"/>
      <c r="R18" s="6"/>
    </row>
    <row r="19" spans="2:18" ht="27.75" customHeight="1" x14ac:dyDescent="0.45">
      <c r="B19" s="37" t="s">
        <v>792</v>
      </c>
      <c r="C19" s="37" t="s">
        <v>805</v>
      </c>
      <c r="D19" s="37" t="s">
        <v>806</v>
      </c>
      <c r="E19" s="37" t="s">
        <v>807</v>
      </c>
      <c r="F19" s="37" t="s">
        <v>815</v>
      </c>
      <c r="K19" s="37" t="s">
        <v>101</v>
      </c>
      <c r="L19" s="37" t="s">
        <v>805</v>
      </c>
      <c r="M19" s="37" t="s">
        <v>816</v>
      </c>
      <c r="N19" s="37" t="s">
        <v>807</v>
      </c>
      <c r="O19" s="37" t="s">
        <v>817</v>
      </c>
    </row>
    <row r="20" spans="2:18" ht="19.5" customHeight="1" x14ac:dyDescent="0.45">
      <c r="B20" s="38" t="s">
        <v>818</v>
      </c>
      <c r="C20" s="39">
        <f>SUMIF('2. Clean Data'!C3:C402,B20,'2. Clean Data'!L3:L402)</f>
        <v>3822198.3299999991</v>
      </c>
      <c r="D20" s="40">
        <f>COUNTIF('2. Clean Data'!C3:C402,B20)</f>
        <v>33</v>
      </c>
      <c r="E20" s="41">
        <f t="shared" ref="E20:E31" si="1">IFERROR(C20/D20,0)</f>
        <v>115824.19181818179</v>
      </c>
      <c r="F20" s="21" t="s">
        <v>819</v>
      </c>
      <c r="K20" s="57" t="s">
        <v>114</v>
      </c>
      <c r="L20" s="58">
        <f>SUMIF('2. Clean Data'!K3:K402,K20,'2. Clean Data'!L3:L402)</f>
        <v>17532902.690000005</v>
      </c>
      <c r="M20" s="59">
        <f>COUNTIF('2. Clean Data'!K3:K402,K20)</f>
        <v>145</v>
      </c>
      <c r="N20" s="60">
        <f>IFERROR(L20/M20,0)</f>
        <v>120916.5702758621</v>
      </c>
      <c r="O20" s="61">
        <f>IFERROR(L20/SUM(L20:L22),0)</f>
        <v>0.36243149410111974</v>
      </c>
    </row>
    <row r="21" spans="2:18" ht="19.5" customHeight="1" x14ac:dyDescent="0.45">
      <c r="B21" s="45" t="s">
        <v>820</v>
      </c>
      <c r="C21" s="46">
        <f>SUMIF('2. Clean Data'!C3:C402,B21,'2. Clean Data'!L3:L402)</f>
        <v>4373262.55</v>
      </c>
      <c r="D21" s="47">
        <f>COUNTIF('2. Clean Data'!C3:C402,B21)</f>
        <v>39</v>
      </c>
      <c r="E21" s="48">
        <f t="shared" si="1"/>
        <v>112134.93717948717</v>
      </c>
      <c r="F21" s="49">
        <f t="shared" ref="F21:F31" si="2">IFERROR((C21-C20)/C20,0)</f>
        <v>0.14417467970585421</v>
      </c>
      <c r="K21" s="62" t="s">
        <v>121</v>
      </c>
      <c r="L21" s="63">
        <f>SUMIF('2. Clean Data'!K3:K402,K21,'2. Clean Data'!L3:L402)</f>
        <v>18209025.890000012</v>
      </c>
      <c r="M21" s="64">
        <f>COUNTIF('2. Clean Data'!K3:K402,K21)</f>
        <v>150</v>
      </c>
      <c r="N21" s="65">
        <f>IFERROR(L21/M21,0)</f>
        <v>121393.50593333341</v>
      </c>
      <c r="O21" s="66">
        <f>IFERROR(L21/SUM(L20:L22),0)</f>
        <v>0.37640797853756153</v>
      </c>
    </row>
    <row r="22" spans="2:18" ht="19.5" customHeight="1" x14ac:dyDescent="0.45">
      <c r="B22" s="38" t="s">
        <v>821</v>
      </c>
      <c r="C22" s="39">
        <f>SUMIF('2. Clean Data'!C3:C402,B22,'2. Clean Data'!L3:L402)</f>
        <v>3887528.8300000005</v>
      </c>
      <c r="D22" s="40">
        <f>COUNTIF('2. Clean Data'!C3:C402,B22)</f>
        <v>34</v>
      </c>
      <c r="E22" s="41">
        <f t="shared" si="1"/>
        <v>114339.08323529414</v>
      </c>
      <c r="F22" s="42">
        <f t="shared" si="2"/>
        <v>-0.11106895926017506</v>
      </c>
      <c r="K22" s="67" t="s">
        <v>126</v>
      </c>
      <c r="L22" s="68">
        <f>SUMIF('2. Clean Data'!K3:K402,K22,'2. Clean Data'!L3:L402)</f>
        <v>12633841.670000004</v>
      </c>
      <c r="M22" s="69">
        <f>COUNTIF('2. Clean Data'!K3:K402,K22)</f>
        <v>105</v>
      </c>
      <c r="N22" s="70">
        <f>IFERROR(L22/M22,0)</f>
        <v>120322.30161904765</v>
      </c>
      <c r="O22" s="71">
        <f>IFERROR(L22/SUM(L20:L22),0)</f>
        <v>0.26116052736131884</v>
      </c>
    </row>
    <row r="23" spans="2:18" ht="19.5" customHeight="1" x14ac:dyDescent="0.45">
      <c r="B23" s="45" t="s">
        <v>822</v>
      </c>
      <c r="C23" s="46">
        <f>SUMIF('2. Clean Data'!C3:C402,B23,'2. Clean Data'!L3:L402)</f>
        <v>5167423.5200000005</v>
      </c>
      <c r="D23" s="47">
        <f>COUNTIF('2. Clean Data'!C3:C402,B23)</f>
        <v>44</v>
      </c>
      <c r="E23" s="48">
        <f t="shared" si="1"/>
        <v>117441.44363636365</v>
      </c>
      <c r="F23" s="49">
        <f t="shared" si="2"/>
        <v>0.32923091916980068</v>
      </c>
    </row>
    <row r="24" spans="2:18" ht="19.5" customHeight="1" x14ac:dyDescent="0.45">
      <c r="B24" s="38" t="s">
        <v>823</v>
      </c>
      <c r="C24" s="39">
        <f>SUMIF('2. Clean Data'!C3:C402,B24,'2. Clean Data'!L3:L402)</f>
        <v>3562507.42</v>
      </c>
      <c r="D24" s="40">
        <f>COUNTIF('2. Clean Data'!C3:C402,B24)</f>
        <v>29</v>
      </c>
      <c r="E24" s="41">
        <f t="shared" si="1"/>
        <v>122845.08344827587</v>
      </c>
      <c r="F24" s="42">
        <f t="shared" si="2"/>
        <v>-0.31058342591590021</v>
      </c>
    </row>
    <row r="25" spans="2:18" ht="19.5" customHeight="1" x14ac:dyDescent="0.45">
      <c r="B25" s="45" t="s">
        <v>824</v>
      </c>
      <c r="C25" s="46">
        <f>SUMIF('2. Clean Data'!C3:C402,B25,'2. Clean Data'!L3:L402)</f>
        <v>3995084.7099999995</v>
      </c>
      <c r="D25" s="47">
        <f>COUNTIF('2. Clean Data'!C3:C402,B25)</f>
        <v>31</v>
      </c>
      <c r="E25" s="48">
        <f t="shared" si="1"/>
        <v>128873.70032258063</v>
      </c>
      <c r="F25" s="49">
        <f t="shared" si="2"/>
        <v>0.12142495130578551</v>
      </c>
    </row>
    <row r="26" spans="2:18" ht="19.5" customHeight="1" x14ac:dyDescent="0.45">
      <c r="B26" s="38" t="s">
        <v>825</v>
      </c>
      <c r="C26" s="39">
        <f>SUMIF('2. Clean Data'!C3:C402,B26,'2. Clean Data'!L3:L402)</f>
        <v>4022045.27</v>
      </c>
      <c r="D26" s="40">
        <f>COUNTIF('2. Clean Data'!C3:C402,B26)</f>
        <v>33</v>
      </c>
      <c r="E26" s="41">
        <f t="shared" si="1"/>
        <v>121880.1596969697</v>
      </c>
      <c r="F26" s="42">
        <f t="shared" si="2"/>
        <v>6.7484326258505107E-3</v>
      </c>
    </row>
    <row r="27" spans="2:18" ht="19.5" customHeight="1" x14ac:dyDescent="0.45">
      <c r="B27" s="45" t="s">
        <v>826</v>
      </c>
      <c r="C27" s="46">
        <f>SUMIF('2. Clean Data'!C3:C402,B27,'2. Clean Data'!L3:L402)</f>
        <v>4127197.1599999997</v>
      </c>
      <c r="D27" s="47">
        <f>COUNTIF('2. Clean Data'!C3:C402,B27)</f>
        <v>31</v>
      </c>
      <c r="E27" s="48">
        <f t="shared" si="1"/>
        <v>133135.3922580645</v>
      </c>
      <c r="F27" s="49">
        <f t="shared" si="2"/>
        <v>2.6143885247716186E-2</v>
      </c>
    </row>
    <row r="28" spans="2:18" ht="19.5" customHeight="1" x14ac:dyDescent="0.45">
      <c r="B28" s="38" t="s">
        <v>827</v>
      </c>
      <c r="C28" s="39">
        <f>SUMIF('2. Clean Data'!C3:C402,B28,'2. Clean Data'!L3:L402)</f>
        <v>4245862.22</v>
      </c>
      <c r="D28" s="40">
        <f>COUNTIF('2. Clean Data'!C3:C402,B28)</f>
        <v>33</v>
      </c>
      <c r="E28" s="41">
        <f t="shared" si="1"/>
        <v>128662.4915151515</v>
      </c>
      <c r="F28" s="42">
        <f t="shared" si="2"/>
        <v>2.8751972682594128E-2</v>
      </c>
    </row>
    <row r="29" spans="2:18" ht="19.5" customHeight="1" x14ac:dyDescent="0.45">
      <c r="B29" s="45" t="s">
        <v>828</v>
      </c>
      <c r="C29" s="46">
        <f>SUMIF('2. Clean Data'!C3:C402,B29,'2. Clean Data'!L3:L402)</f>
        <v>3266373.7399999988</v>
      </c>
      <c r="D29" s="47">
        <f>COUNTIF('2. Clean Data'!C3:C402,B29)</f>
        <v>25</v>
      </c>
      <c r="E29" s="48">
        <f t="shared" si="1"/>
        <v>130654.94959999995</v>
      </c>
      <c r="F29" s="49">
        <f t="shared" si="2"/>
        <v>-0.23069247875876692</v>
      </c>
    </row>
    <row r="30" spans="2:18" ht="19.5" customHeight="1" x14ac:dyDescent="0.45">
      <c r="B30" s="38" t="s">
        <v>829</v>
      </c>
      <c r="C30" s="39">
        <f>SUMIF('2. Clean Data'!C3:C402,B30,'2. Clean Data'!L3:L402)</f>
        <v>4422800.04</v>
      </c>
      <c r="D30" s="40">
        <f>COUNTIF('2. Clean Data'!C3:C402,B30)</f>
        <v>35</v>
      </c>
      <c r="E30" s="41">
        <f t="shared" si="1"/>
        <v>126365.71542857144</v>
      </c>
      <c r="F30" s="42">
        <f t="shared" si="2"/>
        <v>0.35403979827489113</v>
      </c>
    </row>
    <row r="31" spans="2:18" ht="19.5" customHeight="1" x14ac:dyDescent="0.45">
      <c r="B31" s="45" t="s">
        <v>830</v>
      </c>
      <c r="C31" s="46">
        <f>SUMIF('2. Clean Data'!C3:C402,B31,'2. Clean Data'!L3:L402)</f>
        <v>3483486.4599999995</v>
      </c>
      <c r="D31" s="47">
        <f>COUNTIF('2. Clean Data'!C3:C402,B31)</f>
        <v>33</v>
      </c>
      <c r="E31" s="48">
        <f t="shared" si="1"/>
        <v>105560.19575757574</v>
      </c>
      <c r="F31" s="49">
        <f t="shared" si="2"/>
        <v>-0.21237984342606647</v>
      </c>
    </row>
    <row r="33" spans="2:18" ht="7.5" customHeight="1" x14ac:dyDescent="0.45"/>
    <row r="34" spans="2:18" ht="21.75" customHeight="1" x14ac:dyDescent="0.45">
      <c r="B34" s="6" t="s">
        <v>831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2:18" ht="27.75" customHeight="1" x14ac:dyDescent="0.45">
      <c r="B35" s="37" t="s">
        <v>832</v>
      </c>
      <c r="C35" s="37" t="s">
        <v>833</v>
      </c>
      <c r="D35" s="37" t="s">
        <v>809</v>
      </c>
      <c r="E35" s="37" t="s">
        <v>834</v>
      </c>
      <c r="F35" s="37" t="s">
        <v>835</v>
      </c>
    </row>
    <row r="36" spans="2:18" ht="19.5" customHeight="1" x14ac:dyDescent="0.45">
      <c r="B36" s="72" t="s">
        <v>125</v>
      </c>
      <c r="C36" s="39">
        <f>SUMIF('2. Clean Data'!I3:I402,B36,'2. Clean Data'!L3:L402)</f>
        <v>9345429.4999999963</v>
      </c>
      <c r="D36" s="40">
        <f>COUNTIF('2. Clean Data'!I3:I402,B36)</f>
        <v>77</v>
      </c>
      <c r="E36" s="41">
        <f>IFERROR(C36/D36,0)</f>
        <v>121369.21428571423</v>
      </c>
      <c r="F36" s="73">
        <f>RANK(C36,C36:C40,0)</f>
        <v>4</v>
      </c>
    </row>
    <row r="37" spans="2:18" ht="19.5" customHeight="1" x14ac:dyDescent="0.45">
      <c r="B37" s="74" t="s">
        <v>112</v>
      </c>
      <c r="C37" s="46">
        <f>SUMIF('2. Clean Data'!I3:I402,B37,'2. Clean Data'!L3:L402)</f>
        <v>9739146.0199999996</v>
      </c>
      <c r="D37" s="47">
        <f>COUNTIF('2. Clean Data'!I3:I402,B37)</f>
        <v>87</v>
      </c>
      <c r="E37" s="48">
        <f>IFERROR(C37/D37,0)</f>
        <v>111944.20712643677</v>
      </c>
      <c r="F37" s="75">
        <f>RANK(C37,C36:C40,0)</f>
        <v>3</v>
      </c>
    </row>
    <row r="38" spans="2:18" ht="19.5" customHeight="1" x14ac:dyDescent="0.45">
      <c r="B38" s="72" t="s">
        <v>119</v>
      </c>
      <c r="C38" s="107">
        <f>SUMIF('2. Clean Data'!I3:I402,B38,'2. Clean Data'!L3:L402)</f>
        <v>12070326.039999997</v>
      </c>
      <c r="D38" s="40">
        <f>COUNTIF('2. Clean Data'!I3:I402,B38)</f>
        <v>91</v>
      </c>
      <c r="E38" s="41">
        <f>IFERROR(C38/D38,0)</f>
        <v>132640.94549450546</v>
      </c>
      <c r="F38" s="73">
        <f>RANK(C38,C36:C40,0)</f>
        <v>1</v>
      </c>
    </row>
    <row r="39" spans="2:18" ht="19.5" customHeight="1" x14ac:dyDescent="0.45">
      <c r="B39" s="74" t="s">
        <v>136</v>
      </c>
      <c r="C39" s="46">
        <f>SUMIF('2. Clean Data'!I3:I402,B39,'2. Clean Data'!L3:L402)</f>
        <v>7339465.450000003</v>
      </c>
      <c r="D39" s="47">
        <f>COUNTIF('2. Clean Data'!I3:I402,B39)</f>
        <v>64</v>
      </c>
      <c r="E39" s="48">
        <f>IFERROR(C39/D39,0)</f>
        <v>114679.14765625005</v>
      </c>
      <c r="F39" s="75">
        <f>RANK(C39,C36:C40,0)</f>
        <v>5</v>
      </c>
    </row>
    <row r="40" spans="2:18" ht="19.5" customHeight="1" x14ac:dyDescent="0.45">
      <c r="B40" s="72" t="s">
        <v>141</v>
      </c>
      <c r="C40" s="39">
        <f>SUMIF('2. Clean Data'!I3:I402,B40,'2. Clean Data'!L3:L402)</f>
        <v>9881403.2400000021</v>
      </c>
      <c r="D40" s="40">
        <f>COUNTIF('2. Clean Data'!I3:I402,B40)</f>
        <v>81</v>
      </c>
      <c r="E40" s="41">
        <f>IFERROR(C40/D40,0)</f>
        <v>121992.63259259262</v>
      </c>
      <c r="F40" s="73">
        <f>RANK(C40,C36:C40,0)</f>
        <v>2</v>
      </c>
    </row>
  </sheetData>
  <mergeCells count="15">
    <mergeCell ref="B18:I18"/>
    <mergeCell ref="K18:R18"/>
    <mergeCell ref="B34:R34"/>
    <mergeCell ref="B5:E6"/>
    <mergeCell ref="F5:I6"/>
    <mergeCell ref="K5:N6"/>
    <mergeCell ref="O5:R6"/>
    <mergeCell ref="B8:I8"/>
    <mergeCell ref="K8:R8"/>
    <mergeCell ref="A1:R1"/>
    <mergeCell ref="A3:R3"/>
    <mergeCell ref="B4:E4"/>
    <mergeCell ref="F4:I4"/>
    <mergeCell ref="K4:N4"/>
    <mergeCell ref="O4:R4"/>
  </mergeCells>
  <conditionalFormatting sqref="C36:C40">
    <cfRule type="colorScale" priority="5">
      <colorScale>
        <cfvo type="min"/>
        <cfvo type="max"/>
        <color rgb="FFFFFFFF"/>
        <color rgb="FF1B2A4A"/>
      </colorScale>
    </cfRule>
  </conditionalFormatting>
  <conditionalFormatting sqref="F10:F14">
    <cfRule type="colorScale" priority="2">
      <colorScale>
        <cfvo type="min"/>
        <cfvo type="max"/>
        <color rgb="FFFFFFFF"/>
        <color rgb="FF2E6DA4"/>
      </colorScale>
    </cfRule>
  </conditionalFormatting>
  <conditionalFormatting sqref="F21:F31">
    <cfRule type="cellIs" dxfId="1" priority="3" operator="greaterThanOrEqual">
      <formula>0</formula>
    </cfRule>
    <cfRule type="cellIs" dxfId="0" priority="4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topLeftCell="A10" zoomScaleNormal="100" workbookViewId="0">
      <selection sqref="A1:P1"/>
    </sheetView>
  </sheetViews>
  <sheetFormatPr defaultColWidth="8.6640625" defaultRowHeight="14.25" x14ac:dyDescent="0.45"/>
  <cols>
    <col min="1" max="1" width="2" customWidth="1"/>
    <col min="2" max="2" width="18" customWidth="1"/>
    <col min="3" max="8" width="14" customWidth="1"/>
    <col min="9" max="9" width="2" customWidth="1"/>
    <col min="10" max="16" width="14" customWidth="1"/>
  </cols>
  <sheetData>
    <row r="1" spans="1:16" ht="36" customHeight="1" x14ac:dyDescent="0.45">
      <c r="A1" s="9" t="s">
        <v>836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21.75" customHeight="1" x14ac:dyDescent="0.45">
      <c r="B3" s="6" t="s">
        <v>837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1.75" customHeight="1" x14ac:dyDescent="0.45">
      <c r="B4" s="76" t="s">
        <v>838</v>
      </c>
      <c r="C4" s="76" t="s">
        <v>135</v>
      </c>
      <c r="D4" s="76" t="s">
        <v>111</v>
      </c>
      <c r="E4" s="76" t="s">
        <v>140</v>
      </c>
      <c r="F4" s="77" t="s">
        <v>839</v>
      </c>
      <c r="J4" s="76" t="s">
        <v>840</v>
      </c>
      <c r="K4" s="76" t="s">
        <v>189</v>
      </c>
      <c r="L4" s="76" t="s">
        <v>115</v>
      </c>
      <c r="M4" s="76" t="s">
        <v>131</v>
      </c>
      <c r="N4" s="77" t="s">
        <v>839</v>
      </c>
    </row>
    <row r="5" spans="1:16" ht="19.5" customHeight="1" x14ac:dyDescent="0.45">
      <c r="B5" s="45" t="s">
        <v>147</v>
      </c>
      <c r="C5" s="46">
        <f>SUMPRODUCT(('2. Clean Data'!F3:F402=B5)*('2. Clean Data'!H3:H402="Deposits")*('2. Clean Data'!L3:L402))</f>
        <v>4096489.84</v>
      </c>
      <c r="D5" s="46">
        <f>SUMPRODUCT(('2. Clean Data'!F3:F402=B5)*('2. Clean Data'!H3:H402="Loans")*('2. Clean Data'!L3:L402))</f>
        <v>3790254.7100000004</v>
      </c>
      <c r="E5" s="46">
        <f>SUMPRODUCT(('2. Clean Data'!F3:F402=B5)*('2. Clean Data'!H3:H402="Cards")*('2. Clean Data'!L3:L402))</f>
        <v>1213707.8</v>
      </c>
      <c r="F5" s="78">
        <f>SUM(C5:E5)</f>
        <v>9100452.3500000015</v>
      </c>
      <c r="J5" s="57" t="s">
        <v>114</v>
      </c>
      <c r="K5" s="79">
        <f>SUMPRODUCT(('2. Clean Data'!K3:K402=J5)*('2. Clean Data'!Q3:Q402="Basic"))</f>
        <v>8</v>
      </c>
      <c r="L5" s="79">
        <f>SUMPRODUCT(('2. Clean Data'!K3:K402=J5)*('2. Clean Data'!Q3:Q402="Standard"))</f>
        <v>46</v>
      </c>
      <c r="M5" s="79">
        <f>SUMPRODUCT(('2. Clean Data'!K3:K402=J5)*('2. Clean Data'!Q3:Q402="Premium"))</f>
        <v>91</v>
      </c>
      <c r="N5" s="80">
        <f>SUM(K5:M5)</f>
        <v>145</v>
      </c>
    </row>
    <row r="6" spans="1:16" ht="19.5" customHeight="1" x14ac:dyDescent="0.45">
      <c r="B6" s="38" t="s">
        <v>144</v>
      </c>
      <c r="C6" s="39">
        <f>SUMPRODUCT(('2. Clean Data'!F3:F402=B6)*('2. Clean Data'!H3:H402="Deposits")*('2. Clean Data'!L3:L402))</f>
        <v>2372621.44</v>
      </c>
      <c r="D6" s="39">
        <f>SUMPRODUCT(('2. Clean Data'!F3:F402=B6)*('2. Clean Data'!H3:H402="Loans")*('2. Clean Data'!L3:L402))</f>
        <v>4856119.08</v>
      </c>
      <c r="E6" s="39">
        <f>SUMPRODUCT(('2. Clean Data'!F3:F402=B6)*('2. Clean Data'!H3:H402="Cards")*('2. Clean Data'!L3:L402))</f>
        <v>1161133.0900000001</v>
      </c>
      <c r="F6" s="78">
        <f>SUM(C6:E6)</f>
        <v>8389873.6099999994</v>
      </c>
      <c r="J6" s="62" t="s">
        <v>121</v>
      </c>
      <c r="K6" s="81">
        <f>SUMPRODUCT(('2. Clean Data'!K3:K402=J6)*('2. Clean Data'!Q3:Q402="Basic"))</f>
        <v>11</v>
      </c>
      <c r="L6" s="81">
        <f>SUMPRODUCT(('2. Clean Data'!K3:K402=J6)*('2. Clean Data'!Q3:Q402="Standard"))</f>
        <v>50</v>
      </c>
      <c r="M6" s="81">
        <f>SUMPRODUCT(('2. Clean Data'!K3:K402=J6)*('2. Clean Data'!Q3:Q402="Premium"))</f>
        <v>89</v>
      </c>
      <c r="N6" s="80">
        <f>SUM(K6:M6)</f>
        <v>150</v>
      </c>
    </row>
    <row r="7" spans="1:16" ht="19.5" customHeight="1" x14ac:dyDescent="0.45">
      <c r="B7" s="45" t="s">
        <v>124</v>
      </c>
      <c r="C7" s="46">
        <f>SUMPRODUCT(('2. Clean Data'!F3:F402=B7)*('2. Clean Data'!H3:H402="Deposits")*('2. Clean Data'!L3:L402))</f>
        <v>3127370.3999999994</v>
      </c>
      <c r="D7" s="46">
        <f>SUMPRODUCT(('2. Clean Data'!F3:F402=B7)*('2. Clean Data'!H3:H402="Loans")*('2. Clean Data'!L3:L402))</f>
        <v>5031558.18</v>
      </c>
      <c r="E7" s="46">
        <f>SUMPRODUCT(('2. Clean Data'!F3:F402=B7)*('2. Clean Data'!H3:H402="Cards")*('2. Clean Data'!L3:L402))</f>
        <v>1840824.0400000003</v>
      </c>
      <c r="F7" s="78">
        <f>SUM(C7:E7)</f>
        <v>9999752.6199999992</v>
      </c>
      <c r="J7" s="67" t="s">
        <v>126</v>
      </c>
      <c r="K7" s="82">
        <f>SUMPRODUCT(('2. Clean Data'!K3:K402=J7)*('2. Clean Data'!Q3:Q402="Basic"))</f>
        <v>10</v>
      </c>
      <c r="L7" s="82">
        <f>SUMPRODUCT(('2. Clean Data'!K3:K402=J7)*('2. Clean Data'!Q3:Q402="Standard"))</f>
        <v>32</v>
      </c>
      <c r="M7" s="82">
        <f>SUMPRODUCT(('2. Clean Data'!K3:K402=J7)*('2. Clean Data'!Q3:Q402="Premium"))</f>
        <v>63</v>
      </c>
      <c r="N7" s="80">
        <f>SUM(K7:M7)</f>
        <v>105</v>
      </c>
    </row>
    <row r="8" spans="1:16" ht="19.5" customHeight="1" x14ac:dyDescent="0.45">
      <c r="B8" s="38" t="s">
        <v>109</v>
      </c>
      <c r="C8" s="39">
        <f>SUMPRODUCT(('2. Clean Data'!F3:F402=B8)*('2. Clean Data'!H3:H402="Deposits")*('2. Clean Data'!L3:L402))</f>
        <v>4866018.3999999994</v>
      </c>
      <c r="D8" s="39">
        <f>SUMPRODUCT(('2. Clean Data'!F3:F402=B8)*('2. Clean Data'!H3:H402="Loans")*('2. Clean Data'!L3:L402))</f>
        <v>5116378.21</v>
      </c>
      <c r="E8" s="39">
        <f>SUMPRODUCT(('2. Clean Data'!F3:F402=B8)*('2. Clean Data'!H3:H402="Cards")*('2. Clean Data'!L3:L402))</f>
        <v>1251575.2999999998</v>
      </c>
      <c r="F8" s="78">
        <f>SUM(C8:E8)</f>
        <v>11233971.91</v>
      </c>
    </row>
    <row r="9" spans="1:16" ht="19.5" customHeight="1" x14ac:dyDescent="0.45">
      <c r="B9" s="45" t="s">
        <v>176</v>
      </c>
      <c r="C9" s="46">
        <f>SUMPRODUCT(('2. Clean Data'!F3:F402=B9)*('2. Clean Data'!H3:H402="Deposits")*('2. Clean Data'!L3:L402))</f>
        <v>4324458.55</v>
      </c>
      <c r="D9" s="46">
        <f>SUMPRODUCT(('2. Clean Data'!F3:F402=B9)*('2. Clean Data'!H3:H402="Loans")*('2. Clean Data'!L3:L402))</f>
        <v>4198192.7599999988</v>
      </c>
      <c r="E9" s="46">
        <f>SUMPRODUCT(('2. Clean Data'!F3:F402=B9)*('2. Clean Data'!H3:H402="Cards")*('2. Clean Data'!L3:L402))</f>
        <v>1129068.45</v>
      </c>
      <c r="F9" s="78">
        <f>SUM(C9:E9)</f>
        <v>9651719.7599999979</v>
      </c>
    </row>
    <row r="10" spans="1:16" ht="19.5" customHeight="1" x14ac:dyDescent="0.45">
      <c r="B10" s="83" t="s">
        <v>841</v>
      </c>
      <c r="C10" s="78">
        <f>SUM(C5:C9)</f>
        <v>18786958.629999999</v>
      </c>
      <c r="D10" s="78">
        <f>SUM(D5:D9)</f>
        <v>22992502.939999998</v>
      </c>
      <c r="E10" s="78">
        <f>SUM(E5:E9)</f>
        <v>6596308.6800000006</v>
      </c>
      <c r="F10" s="78">
        <f>SUM(F5:F9)</f>
        <v>48375770.249999993</v>
      </c>
    </row>
    <row r="12" spans="1:16" ht="21.75" customHeight="1" x14ac:dyDescent="0.45">
      <c r="J12" s="92" t="s">
        <v>842</v>
      </c>
      <c r="K12" s="92"/>
      <c r="L12" s="92"/>
      <c r="M12" s="92"/>
      <c r="N12" s="92"/>
      <c r="O12" s="92"/>
      <c r="P12" s="92"/>
    </row>
    <row r="13" spans="1:16" ht="21.75" customHeight="1" x14ac:dyDescent="0.45">
      <c r="B13" s="6" t="s">
        <v>843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21.75" customHeight="1" x14ac:dyDescent="0.45">
      <c r="B14" s="76" t="s">
        <v>844</v>
      </c>
      <c r="C14" s="76" t="s">
        <v>147</v>
      </c>
      <c r="D14" s="76" t="s">
        <v>144</v>
      </c>
      <c r="E14" s="76" t="s">
        <v>124</v>
      </c>
      <c r="F14" s="76" t="s">
        <v>109</v>
      </c>
      <c r="G14" s="76" t="s">
        <v>176</v>
      </c>
      <c r="H14" s="77" t="s">
        <v>845</v>
      </c>
    </row>
    <row r="15" spans="1:16" ht="19.5" customHeight="1" x14ac:dyDescent="0.45">
      <c r="B15" s="45" t="s">
        <v>846</v>
      </c>
      <c r="C15" s="46">
        <f>SUMPRODUCT(('2. Clean Data'!D3:D402=B15)*('2. Clean Data'!F3:F402="Downtown")*('2. Clean Data'!L3:L402))</f>
        <v>2144724.09</v>
      </c>
      <c r="D15" s="46">
        <f>SUMPRODUCT(('2. Clean Data'!D3:D402=B15)*('2. Clean Data'!F3:F402="Uptown")*('2. Clean Data'!L3:L402))</f>
        <v>2638207.2599999998</v>
      </c>
      <c r="E15" s="46">
        <f>SUMPRODUCT(('2. Clean Data'!D3:D402=B15)*('2. Clean Data'!F3:F402="Westside")*('2. Clean Data'!L3:L402))</f>
        <v>2756375.1099999994</v>
      </c>
      <c r="F15" s="46">
        <f>SUMPRODUCT(('2. Clean Data'!D3:D402=B15)*('2. Clean Data'!F3:F402="Eastgate")*('2. Clean Data'!L3:L402))</f>
        <v>2764587.4</v>
      </c>
      <c r="G15" s="46">
        <f>SUMPRODUCT(('2. Clean Data'!D3:D402=B15)*('2. Clean Data'!F3:F402="Northpark")*('2. Clean Data'!L3:L402))</f>
        <v>1779095.8499999999</v>
      </c>
      <c r="H15" s="78">
        <f>SUM(C15:G15)</f>
        <v>12082989.709999999</v>
      </c>
    </row>
    <row r="16" spans="1:16" ht="19.5" customHeight="1" x14ac:dyDescent="0.45">
      <c r="B16" s="38" t="s">
        <v>847</v>
      </c>
      <c r="C16" s="39">
        <f>SUMPRODUCT(('2. Clean Data'!D3:D402=B16)*('2. Clean Data'!F3:F402="Downtown")*('2. Clean Data'!L3:L402))</f>
        <v>2128608.4899999998</v>
      </c>
      <c r="D16" s="39">
        <f>SUMPRODUCT(('2. Clean Data'!D3:D402=B16)*('2. Clean Data'!F3:F402="Uptown")*('2. Clean Data'!L3:L402))</f>
        <v>1857867.84</v>
      </c>
      <c r="E16" s="39">
        <f>SUMPRODUCT(('2. Clean Data'!D3:D402=B16)*('2. Clean Data'!F3:F402="Westside")*('2. Clean Data'!L3:L402))</f>
        <v>877906.94000000006</v>
      </c>
      <c r="F16" s="39">
        <f>SUMPRODUCT(('2. Clean Data'!D3:D402=B16)*('2. Clean Data'!F3:F402="Eastgate")*('2. Clean Data'!L3:L402))</f>
        <v>3122936.8099999996</v>
      </c>
      <c r="G16" s="39">
        <f>SUMPRODUCT(('2. Clean Data'!D3:D402=B16)*('2. Clean Data'!F3:F402="Northpark")*('2. Clean Data'!L3:L402))</f>
        <v>4737695.57</v>
      </c>
      <c r="H16" s="78">
        <f>SUM(C16:G16)</f>
        <v>12725015.65</v>
      </c>
    </row>
    <row r="17" spans="2:8" ht="19.5" customHeight="1" x14ac:dyDescent="0.45">
      <c r="B17" s="45" t="s">
        <v>848</v>
      </c>
      <c r="C17" s="46">
        <f>SUMPRODUCT(('2. Clean Data'!D3:D402=B17)*('2. Clean Data'!F3:F402="Downtown")*('2. Clean Data'!L3:L402))</f>
        <v>1920092.6400000001</v>
      </c>
      <c r="D17" s="46">
        <f>SUMPRODUCT(('2. Clean Data'!D3:D402=B17)*('2. Clean Data'!F3:F402="Uptown")*('2. Clean Data'!L3:L402))</f>
        <v>2199671.9599999995</v>
      </c>
      <c r="E17" s="46">
        <f>SUMPRODUCT(('2. Clean Data'!D3:D402=B17)*('2. Clean Data'!F3:F402="Westside")*('2. Clean Data'!L3:L402))</f>
        <v>3379997.08</v>
      </c>
      <c r="F17" s="46">
        <f>SUMPRODUCT(('2. Clean Data'!D3:D402=B17)*('2. Clean Data'!F3:F402="Eastgate")*('2. Clean Data'!L3:L402))</f>
        <v>2792837.82</v>
      </c>
      <c r="G17" s="46">
        <f>SUMPRODUCT(('2. Clean Data'!D3:D402=B17)*('2. Clean Data'!F3:F402="Northpark")*('2. Clean Data'!L3:L402))</f>
        <v>2102505.15</v>
      </c>
      <c r="H17" s="78">
        <f>SUM(C17:G17)</f>
        <v>12395104.65</v>
      </c>
    </row>
    <row r="18" spans="2:8" ht="19.5" customHeight="1" x14ac:dyDescent="0.45">
      <c r="B18" s="38" t="s">
        <v>849</v>
      </c>
      <c r="C18" s="39">
        <f>SUMPRODUCT(('2. Clean Data'!D3:D402=B18)*('2. Clean Data'!F3:F402="Downtown")*('2. Clean Data'!L3:L402))</f>
        <v>2907027.1300000004</v>
      </c>
      <c r="D18" s="39">
        <f>SUMPRODUCT(('2. Clean Data'!D3:D402=B18)*('2. Clean Data'!F3:F402="Uptown")*('2. Clean Data'!L3:L402))</f>
        <v>1694126.55</v>
      </c>
      <c r="E18" s="39">
        <f>SUMPRODUCT(('2. Clean Data'!D3:D402=B18)*('2. Clean Data'!F3:F402="Westside")*('2. Clean Data'!L3:L402))</f>
        <v>2985473.4899999993</v>
      </c>
      <c r="F18" s="39">
        <f>SUMPRODUCT(('2. Clean Data'!D3:D402=B18)*('2. Clean Data'!F3:F402="Eastgate")*('2. Clean Data'!L3:L402))</f>
        <v>2553609.88</v>
      </c>
      <c r="G18" s="39">
        <f>SUMPRODUCT(('2. Clean Data'!D3:D402=B18)*('2. Clean Data'!F3:F402="Northpark")*('2. Clean Data'!L3:L402))</f>
        <v>1032423.19</v>
      </c>
      <c r="H18" s="78">
        <f>SUM(C18:G18)</f>
        <v>11172660.24</v>
      </c>
    </row>
    <row r="20" spans="2:8" ht="18" customHeight="1" x14ac:dyDescent="0.45">
      <c r="B20" s="93" t="s">
        <v>850</v>
      </c>
      <c r="C20" s="93"/>
      <c r="D20" s="93"/>
      <c r="E20" s="93"/>
      <c r="F20" s="93"/>
      <c r="G20" s="93"/>
      <c r="H20" s="93"/>
    </row>
    <row r="21" spans="2:8" ht="18" customHeight="1" x14ac:dyDescent="0.45">
      <c r="B21" s="93"/>
      <c r="C21" s="93"/>
      <c r="D21" s="93"/>
      <c r="E21" s="93"/>
      <c r="F21" s="93"/>
      <c r="G21" s="93"/>
      <c r="H21" s="93"/>
    </row>
  </sheetData>
  <mergeCells count="5">
    <mergeCell ref="A1:P1"/>
    <mergeCell ref="B3:P3"/>
    <mergeCell ref="J12:P12"/>
    <mergeCell ref="B13:P13"/>
    <mergeCell ref="B20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6"/>
  <sheetViews>
    <sheetView showGridLines="0" zoomScale="70" zoomScaleNormal="70" workbookViewId="0">
      <selection activeCell="X44" sqref="X44"/>
    </sheetView>
  </sheetViews>
  <sheetFormatPr defaultColWidth="8.6640625" defaultRowHeight="14.25" x14ac:dyDescent="0.45"/>
  <sheetData>
    <row r="1" spans="1:18" ht="36" customHeight="1" x14ac:dyDescent="0.45">
      <c r="A1" s="7" t="s">
        <v>851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3" spans="1:18" ht="15" customHeight="1" x14ac:dyDescent="0.45">
      <c r="A3" s="84" t="s">
        <v>96</v>
      </c>
      <c r="B3" s="84" t="s">
        <v>102</v>
      </c>
    </row>
    <row r="4" spans="1:18" ht="15" customHeight="1" x14ac:dyDescent="0.45">
      <c r="A4" s="84" t="s">
        <v>147</v>
      </c>
      <c r="B4" s="84">
        <f>SUMIF('2. Clean Data'!F3:F402,A4,'2. Clean Data'!L3:L402)</f>
        <v>9100452.3499999959</v>
      </c>
    </row>
    <row r="5" spans="1:18" ht="15" customHeight="1" x14ac:dyDescent="0.45">
      <c r="A5" s="84" t="s">
        <v>144</v>
      </c>
      <c r="B5" s="84">
        <f>SUMIF('2. Clean Data'!F3:F402,A5,'2. Clean Data'!L3:L402)</f>
        <v>8389873.6099999994</v>
      </c>
    </row>
    <row r="6" spans="1:18" ht="15" customHeight="1" x14ac:dyDescent="0.45">
      <c r="A6" s="84" t="s">
        <v>124</v>
      </c>
      <c r="B6" s="84">
        <f>SUMIF('2. Clean Data'!F3:F402,A6,'2. Clean Data'!L3:L402)</f>
        <v>9999752.620000001</v>
      </c>
    </row>
    <row r="7" spans="1:18" ht="15" customHeight="1" x14ac:dyDescent="0.45">
      <c r="A7" s="84" t="s">
        <v>109</v>
      </c>
      <c r="B7" s="84">
        <f>SUMIF('2. Clean Data'!F3:F402,A7,'2. Clean Data'!L3:L402)</f>
        <v>11233971.91</v>
      </c>
    </row>
    <row r="8" spans="1:18" ht="15" customHeight="1" x14ac:dyDescent="0.45">
      <c r="A8" s="84" t="s">
        <v>176</v>
      </c>
      <c r="B8" s="84">
        <f>SUMIF('2. Clean Data'!F3:F402,A8,'2. Clean Data'!L3:L402)</f>
        <v>9651719.7599999998</v>
      </c>
    </row>
    <row r="11" spans="1:18" ht="15" customHeight="1" x14ac:dyDescent="0.45">
      <c r="A11" t="s">
        <v>98</v>
      </c>
      <c r="B11" t="s">
        <v>852</v>
      </c>
    </row>
    <row r="12" spans="1:18" ht="15" customHeight="1" x14ac:dyDescent="0.45">
      <c r="A12" t="s">
        <v>135</v>
      </c>
      <c r="B12">
        <f>SUMIF('2. Clean Data'!H3:H402,A12,'2. Clean Data'!L3:L402)</f>
        <v>18786958.630000014</v>
      </c>
    </row>
    <row r="13" spans="1:18" ht="15" customHeight="1" x14ac:dyDescent="0.45">
      <c r="A13" t="s">
        <v>111</v>
      </c>
      <c r="B13">
        <f>SUMIF('2. Clean Data'!H3:H402,A13,'2. Clean Data'!L3:L402)</f>
        <v>22992502.940000016</v>
      </c>
    </row>
    <row r="14" spans="1:18" ht="15" customHeight="1" x14ac:dyDescent="0.45">
      <c r="A14" t="s">
        <v>140</v>
      </c>
      <c r="B14">
        <f>SUMIF('2. Clean Data'!H3:H402,A14,'2. Clean Data'!L3:L402)</f>
        <v>6596308.6799999988</v>
      </c>
    </row>
    <row r="18" spans="1:3" ht="15" customHeight="1" x14ac:dyDescent="0.45">
      <c r="A18" t="s">
        <v>792</v>
      </c>
      <c r="B18" t="s">
        <v>102</v>
      </c>
      <c r="C18" t="s">
        <v>806</v>
      </c>
    </row>
    <row r="19" spans="1:3" ht="15" customHeight="1" x14ac:dyDescent="0.45">
      <c r="A19" t="s">
        <v>818</v>
      </c>
      <c r="B19">
        <f>SUMIF('2. Clean Data'!C3:C402,A19,'2. Clean Data'!L3:L402)</f>
        <v>3822198.3299999991</v>
      </c>
      <c r="C19">
        <f>COUNTIF('2. Clean Data'!C3:C402,A19)</f>
        <v>33</v>
      </c>
    </row>
    <row r="20" spans="1:3" ht="15" customHeight="1" x14ac:dyDescent="0.45">
      <c r="A20" t="s">
        <v>820</v>
      </c>
      <c r="B20">
        <f>SUMIF('2. Clean Data'!C3:C402,A20,'2. Clean Data'!L3:L402)</f>
        <v>4373262.55</v>
      </c>
      <c r="C20">
        <f>COUNTIF('2. Clean Data'!C3:C402,A20)</f>
        <v>39</v>
      </c>
    </row>
    <row r="21" spans="1:3" ht="15" customHeight="1" x14ac:dyDescent="0.45">
      <c r="A21" t="s">
        <v>821</v>
      </c>
      <c r="B21">
        <f>SUMIF('2. Clean Data'!C3:C402,A21,'2. Clean Data'!L3:L402)</f>
        <v>3887528.8300000005</v>
      </c>
      <c r="C21">
        <f>COUNTIF('2. Clean Data'!C3:C402,A21)</f>
        <v>34</v>
      </c>
    </row>
    <row r="22" spans="1:3" ht="15" customHeight="1" x14ac:dyDescent="0.45">
      <c r="A22" t="s">
        <v>822</v>
      </c>
      <c r="B22">
        <f>SUMIF('2. Clean Data'!C3:C402,A22,'2. Clean Data'!L3:L402)</f>
        <v>5167423.5200000005</v>
      </c>
      <c r="C22">
        <f>COUNTIF('2. Clean Data'!C3:C402,A22)</f>
        <v>44</v>
      </c>
    </row>
    <row r="23" spans="1:3" ht="15" customHeight="1" x14ac:dyDescent="0.45">
      <c r="A23" t="s">
        <v>823</v>
      </c>
      <c r="B23">
        <f>SUMIF('2. Clean Data'!C3:C402,A23,'2. Clean Data'!L3:L402)</f>
        <v>3562507.42</v>
      </c>
      <c r="C23">
        <f>COUNTIF('2. Clean Data'!C3:C402,A23)</f>
        <v>29</v>
      </c>
    </row>
    <row r="24" spans="1:3" ht="15" customHeight="1" x14ac:dyDescent="0.45">
      <c r="A24" t="s">
        <v>824</v>
      </c>
      <c r="B24">
        <f>SUMIF('2. Clean Data'!C3:C402,A24,'2. Clean Data'!L3:L402)</f>
        <v>3995084.7099999995</v>
      </c>
      <c r="C24">
        <f>COUNTIF('2. Clean Data'!C3:C402,A24)</f>
        <v>31</v>
      </c>
    </row>
    <row r="25" spans="1:3" ht="15" customHeight="1" x14ac:dyDescent="0.45">
      <c r="A25" t="s">
        <v>825</v>
      </c>
      <c r="B25">
        <f>SUMIF('2. Clean Data'!C3:C402,A25,'2. Clean Data'!L3:L402)</f>
        <v>4022045.27</v>
      </c>
      <c r="C25">
        <f>COUNTIF('2. Clean Data'!C3:C402,A25)</f>
        <v>33</v>
      </c>
    </row>
    <row r="26" spans="1:3" ht="15" customHeight="1" x14ac:dyDescent="0.45">
      <c r="A26" t="s">
        <v>826</v>
      </c>
      <c r="B26">
        <f>SUMIF('2. Clean Data'!C3:C402,A26,'2. Clean Data'!L3:L402)</f>
        <v>4127197.1599999997</v>
      </c>
      <c r="C26">
        <f>COUNTIF('2. Clean Data'!C3:C402,A26)</f>
        <v>31</v>
      </c>
    </row>
    <row r="27" spans="1:3" ht="15" customHeight="1" x14ac:dyDescent="0.45">
      <c r="A27" t="s">
        <v>827</v>
      </c>
      <c r="B27">
        <f>SUMIF('2. Clean Data'!C3:C402,A27,'2. Clean Data'!L3:L402)</f>
        <v>4245862.22</v>
      </c>
      <c r="C27">
        <f>COUNTIF('2. Clean Data'!C3:C402,A27)</f>
        <v>33</v>
      </c>
    </row>
    <row r="28" spans="1:3" ht="15" customHeight="1" x14ac:dyDescent="0.45">
      <c r="A28" t="s">
        <v>828</v>
      </c>
      <c r="B28">
        <f>SUMIF('2. Clean Data'!C3:C402,A28,'2. Clean Data'!L3:L402)</f>
        <v>3266373.7399999988</v>
      </c>
      <c r="C28">
        <f>COUNTIF('2. Clean Data'!C3:C402,A28)</f>
        <v>25</v>
      </c>
    </row>
    <row r="29" spans="1:3" ht="15" customHeight="1" x14ac:dyDescent="0.45">
      <c r="A29" t="s">
        <v>829</v>
      </c>
      <c r="B29">
        <f>SUMIF('2. Clean Data'!C3:C402,A29,'2. Clean Data'!L3:L402)</f>
        <v>4422800.04</v>
      </c>
      <c r="C29">
        <f>COUNTIF('2. Clean Data'!C3:C402,A29)</f>
        <v>35</v>
      </c>
    </row>
    <row r="30" spans="1:3" ht="15" customHeight="1" x14ac:dyDescent="0.45">
      <c r="A30" t="s">
        <v>830</v>
      </c>
      <c r="B30">
        <f>SUMIF('2. Clean Data'!C3:C402,A30,'2. Clean Data'!L3:L402)</f>
        <v>3483486.4599999995</v>
      </c>
      <c r="C30">
        <f>COUNTIF('2. Clean Data'!C3:C402,A30)</f>
        <v>33</v>
      </c>
    </row>
    <row r="33" spans="1:2" ht="15" customHeight="1" x14ac:dyDescent="0.45">
      <c r="A33" t="s">
        <v>101</v>
      </c>
      <c r="B33" t="s">
        <v>102</v>
      </c>
    </row>
    <row r="34" spans="1:2" ht="15" customHeight="1" x14ac:dyDescent="0.45">
      <c r="A34" t="s">
        <v>114</v>
      </c>
      <c r="B34">
        <f>SUMIF('2. Clean Data'!K3:K402,A34,'2. Clean Data'!L3:L402)</f>
        <v>17532902.690000005</v>
      </c>
    </row>
    <row r="35" spans="1:2" ht="15" customHeight="1" x14ac:dyDescent="0.45">
      <c r="A35" t="s">
        <v>121</v>
      </c>
      <c r="B35">
        <f>SUMIF('2. Clean Data'!K3:K402,A35,'2. Clean Data'!L3:L402)</f>
        <v>18209025.890000012</v>
      </c>
    </row>
    <row r="36" spans="1:2" ht="15" customHeight="1" x14ac:dyDescent="0.45">
      <c r="A36" t="s">
        <v>126</v>
      </c>
      <c r="B36">
        <f>SUMIF('2. Clean Data'!K3:K402,A36,'2. Clean Data'!L3:L402)</f>
        <v>12633841.670000004</v>
      </c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V20"/>
  <sheetViews>
    <sheetView showGridLines="0" tabSelected="1" topLeftCell="A4" zoomScale="70" zoomScaleNormal="70" workbookViewId="0">
      <selection activeCell="M25" sqref="M25"/>
    </sheetView>
  </sheetViews>
  <sheetFormatPr defaultColWidth="8.6640625" defaultRowHeight="14.25" x14ac:dyDescent="0.45"/>
  <cols>
    <col min="1" max="1" width="1.53125" customWidth="1"/>
    <col min="2" max="22" width="10" customWidth="1"/>
    <col min="23" max="23" width="1.53125" customWidth="1"/>
  </cols>
  <sheetData>
    <row r="1" spans="2:22" ht="24" customHeight="1" x14ac:dyDescent="0.45">
      <c r="B1" s="94" t="s">
        <v>853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</row>
    <row r="2" spans="2:22" ht="24" customHeight="1" x14ac:dyDescent="0.45"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</row>
    <row r="3" spans="2:22" ht="15.75" customHeight="1" x14ac:dyDescent="0.45">
      <c r="B3" s="95" t="s">
        <v>854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</row>
    <row r="4" spans="2:22" ht="6" customHeight="1" x14ac:dyDescent="0.45"/>
    <row r="5" spans="2:22" ht="21.75" customHeight="1" x14ac:dyDescent="0.45">
      <c r="B5" s="96" t="s">
        <v>855</v>
      </c>
      <c r="C5" s="96"/>
      <c r="D5" s="96"/>
      <c r="E5" s="96"/>
      <c r="F5" s="96"/>
      <c r="H5" s="97" t="s">
        <v>856</v>
      </c>
      <c r="I5" s="97"/>
      <c r="J5" s="97"/>
      <c r="K5" s="97"/>
      <c r="L5" s="97"/>
      <c r="M5" s="98" t="s">
        <v>857</v>
      </c>
      <c r="N5" s="98"/>
      <c r="O5" s="98"/>
      <c r="P5" s="98"/>
      <c r="Q5" s="98"/>
      <c r="R5" s="99" t="s">
        <v>858</v>
      </c>
      <c r="S5" s="99"/>
      <c r="T5" s="99"/>
      <c r="U5" s="99"/>
      <c r="V5" s="99"/>
    </row>
    <row r="6" spans="2:22" ht="21.75" customHeight="1" x14ac:dyDescent="0.45">
      <c r="B6" s="96"/>
      <c r="C6" s="96"/>
      <c r="D6" s="96"/>
      <c r="E6" s="96"/>
      <c r="F6" s="96"/>
      <c r="H6" s="97"/>
      <c r="I6" s="97"/>
      <c r="J6" s="97"/>
      <c r="K6" s="97"/>
      <c r="L6" s="97"/>
      <c r="M6" s="98"/>
      <c r="N6" s="98"/>
      <c r="O6" s="98"/>
      <c r="P6" s="98"/>
      <c r="Q6" s="98"/>
      <c r="R6" s="99"/>
      <c r="S6" s="99"/>
      <c r="T6" s="99"/>
      <c r="U6" s="99"/>
      <c r="V6" s="99"/>
    </row>
    <row r="7" spans="2:22" ht="21.75" customHeight="1" x14ac:dyDescent="0.45">
      <c r="B7" s="100">
        <f>SUMIF('2. Clean Data'!J3:J402,"Active",'2. Clean Data'!L3:L402)</f>
        <v>35627697.440000005</v>
      </c>
      <c r="C7" s="100"/>
      <c r="D7" s="100"/>
      <c r="E7" s="100"/>
      <c r="F7" s="100"/>
      <c r="H7" s="101">
        <f>COUNTA('2. Clean Data'!A3:A402)</f>
        <v>400</v>
      </c>
      <c r="I7" s="101"/>
      <c r="J7" s="101"/>
      <c r="K7" s="101"/>
      <c r="L7" s="101"/>
      <c r="M7" s="102">
        <f>AVERAGEIF('2. Clean Data'!H3:H402,"Loans",'2. Clean Data'!L3:L402)</f>
        <v>114962.51470000009</v>
      </c>
      <c r="N7" s="102"/>
      <c r="O7" s="102"/>
      <c r="P7" s="102"/>
      <c r="Q7" s="102"/>
      <c r="R7" s="103">
        <f>COUNTIF('2. Clean Data'!K3:K402,"High")</f>
        <v>105</v>
      </c>
      <c r="S7" s="103"/>
      <c r="T7" s="103"/>
      <c r="U7" s="103"/>
      <c r="V7" s="103"/>
    </row>
    <row r="8" spans="2:22" ht="21.75" customHeight="1" x14ac:dyDescent="0.45">
      <c r="B8" s="100"/>
      <c r="C8" s="100"/>
      <c r="D8" s="100"/>
      <c r="E8" s="100"/>
      <c r="F8" s="100"/>
      <c r="H8" s="101"/>
      <c r="I8" s="101"/>
      <c r="J8" s="101"/>
      <c r="K8" s="101"/>
      <c r="L8" s="101"/>
      <c r="M8" s="102"/>
      <c r="N8" s="102"/>
      <c r="O8" s="102"/>
      <c r="P8" s="102"/>
      <c r="Q8" s="102"/>
      <c r="R8" s="103"/>
      <c r="S8" s="103"/>
      <c r="T8" s="103"/>
      <c r="U8" s="103"/>
      <c r="V8" s="103"/>
    </row>
    <row r="9" spans="2:22" ht="6" customHeight="1" x14ac:dyDescent="0.45"/>
    <row r="10" spans="2:22" ht="19.5" customHeight="1" x14ac:dyDescent="0.45">
      <c r="B10" s="92" t="s">
        <v>859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</row>
    <row r="11" spans="2:22" ht="21.75" customHeight="1" x14ac:dyDescent="0.45">
      <c r="B11" s="37" t="s">
        <v>96</v>
      </c>
      <c r="C11" s="37" t="s">
        <v>102</v>
      </c>
      <c r="D11" s="37" t="s">
        <v>860</v>
      </c>
      <c r="F11" s="37" t="s">
        <v>98</v>
      </c>
      <c r="G11" s="37" t="s">
        <v>102</v>
      </c>
      <c r="H11" s="37" t="s">
        <v>861</v>
      </c>
      <c r="J11" s="37" t="s">
        <v>862</v>
      </c>
      <c r="K11" s="37" t="s">
        <v>102</v>
      </c>
      <c r="L11" s="37" t="s">
        <v>863</v>
      </c>
      <c r="N11" s="104" t="s">
        <v>864</v>
      </c>
      <c r="O11" s="104"/>
      <c r="P11" s="104"/>
      <c r="Q11" s="104"/>
      <c r="R11" s="104"/>
      <c r="S11" s="104"/>
      <c r="T11" s="104"/>
      <c r="U11" s="104"/>
      <c r="V11" s="104"/>
    </row>
    <row r="12" spans="2:22" ht="19.5" customHeight="1" x14ac:dyDescent="0.45">
      <c r="B12" s="38" t="s">
        <v>147</v>
      </c>
      <c r="C12" s="39">
        <f>SUMIF('2. Clean Data'!F3:F402,B12,'2. Clean Data'!L3:L402)</f>
        <v>9100452.3499999959</v>
      </c>
      <c r="D12" s="40">
        <f>COUNTIF('2. Clean Data'!F3:F402,B12)</f>
        <v>82</v>
      </c>
      <c r="F12" s="38" t="s">
        <v>135</v>
      </c>
      <c r="G12" s="39">
        <f>SUMIF('2. Clean Data'!H3:H402,F12,'2. Clean Data'!L3:L402)</f>
        <v>18786958.630000014</v>
      </c>
      <c r="H12" s="43">
        <f>IFERROR(AVERAGEIF('2. Clean Data'!H3:H402,F12,'2. Clean Data'!M3:M402),0)</f>
        <v>8.0493103448275907</v>
      </c>
      <c r="J12" s="57" t="s">
        <v>114</v>
      </c>
      <c r="K12" s="58">
        <f>SUMIF('2. Clean Data'!K3:K402,J12,'2. Clean Data'!L3:L402)</f>
        <v>17532902.690000005</v>
      </c>
      <c r="L12" s="59">
        <f>COUNTIF('2. Clean Data'!K3:K402,J12)</f>
        <v>145</v>
      </c>
      <c r="N12" s="105" t="str">
        <f>INDEX('3. Analysis'!B36:B40,MATCH(MAX('3. Analysis'!C36:C40),'3. Analysis'!C36:C40,0))</f>
        <v>Maria Lopez</v>
      </c>
      <c r="O12" s="105"/>
      <c r="P12" s="105"/>
      <c r="Q12" s="105"/>
      <c r="R12" s="105"/>
      <c r="S12" s="105"/>
      <c r="T12" s="105"/>
      <c r="U12" s="105"/>
      <c r="V12" s="105"/>
    </row>
    <row r="13" spans="2:22" ht="19.5" customHeight="1" x14ac:dyDescent="0.45">
      <c r="B13" s="85" t="s">
        <v>144</v>
      </c>
      <c r="C13" s="86">
        <f>SUMIF('2. Clean Data'!F3:F402,B13,'2. Clean Data'!L3:L402)</f>
        <v>8389873.6099999994</v>
      </c>
      <c r="D13" s="87">
        <f>COUNTIF('2. Clean Data'!F3:F402,B13)</f>
        <v>69</v>
      </c>
      <c r="F13" s="85" t="s">
        <v>111</v>
      </c>
      <c r="G13" s="86">
        <f>SUMIF('2. Clean Data'!H3:H402,F13,'2. Clean Data'!L3:L402)</f>
        <v>22992502.940000016</v>
      </c>
      <c r="H13" s="88">
        <f>IFERROR(AVERAGEIF('2. Clean Data'!H3:H402,F13,'2. Clean Data'!M3:M402),0)</f>
        <v>8.1813999999999965</v>
      </c>
      <c r="J13" s="62" t="s">
        <v>121</v>
      </c>
      <c r="K13" s="63">
        <f>SUMIF('2. Clean Data'!K3:K402,J13,'2. Clean Data'!L3:L402)</f>
        <v>18209025.890000012</v>
      </c>
      <c r="L13" s="64">
        <f>COUNTIF('2. Clean Data'!K3:K402,J13)</f>
        <v>150</v>
      </c>
      <c r="N13" s="105"/>
      <c r="O13" s="105"/>
      <c r="P13" s="105"/>
      <c r="Q13" s="105"/>
      <c r="R13" s="105"/>
      <c r="S13" s="105"/>
      <c r="T13" s="105"/>
      <c r="U13" s="105"/>
      <c r="V13" s="105"/>
    </row>
    <row r="14" spans="2:22" ht="19.5" customHeight="1" x14ac:dyDescent="0.45">
      <c r="B14" s="38" t="s">
        <v>124</v>
      </c>
      <c r="C14" s="39">
        <f>SUMIF('2. Clean Data'!F3:F402,B14,'2. Clean Data'!L3:L402)</f>
        <v>9999752.620000001</v>
      </c>
      <c r="D14" s="40">
        <f>COUNTIF('2. Clean Data'!F3:F402,B14)</f>
        <v>83</v>
      </c>
      <c r="F14" s="38" t="s">
        <v>140</v>
      </c>
      <c r="G14" s="39">
        <f>SUMIF('2. Clean Data'!H3:H402,F14,'2. Clean Data'!L3:L402)</f>
        <v>6596308.6799999988</v>
      </c>
      <c r="H14" s="43">
        <f>IFERROR(AVERAGEIF('2. Clean Data'!H3:H402,F14,'2. Clean Data'!M3:M402),0)</f>
        <v>7.7178181818181821</v>
      </c>
      <c r="J14" s="67" t="s">
        <v>126</v>
      </c>
      <c r="K14" s="68">
        <f>SUMIF('2. Clean Data'!K3:K402,J14,'2. Clean Data'!L3:L402)</f>
        <v>12633841.670000004</v>
      </c>
      <c r="L14" s="69">
        <f>COUNTIF('2. Clean Data'!K3:K402,J14)</f>
        <v>105</v>
      </c>
      <c r="N14" s="105"/>
      <c r="O14" s="105"/>
      <c r="P14" s="105"/>
      <c r="Q14" s="105"/>
      <c r="R14" s="105"/>
      <c r="S14" s="105"/>
      <c r="T14" s="105"/>
      <c r="U14" s="105"/>
      <c r="V14" s="105"/>
    </row>
    <row r="15" spans="2:22" ht="19.5" customHeight="1" x14ac:dyDescent="0.45">
      <c r="B15" s="85" t="s">
        <v>109</v>
      </c>
      <c r="C15" s="86">
        <f>SUMIF('2. Clean Data'!F3:F402,B15,'2. Clean Data'!L3:L402)</f>
        <v>11233971.91</v>
      </c>
      <c r="D15" s="87">
        <f>COUNTIF('2. Clean Data'!F3:F402,B15)</f>
        <v>94</v>
      </c>
      <c r="N15" s="105"/>
      <c r="O15" s="105"/>
      <c r="P15" s="105"/>
      <c r="Q15" s="105"/>
      <c r="R15" s="105"/>
      <c r="S15" s="105"/>
      <c r="T15" s="105"/>
      <c r="U15" s="105"/>
      <c r="V15" s="105"/>
    </row>
    <row r="16" spans="2:22" ht="19.5" customHeight="1" x14ac:dyDescent="0.45">
      <c r="B16" s="38" t="s">
        <v>176</v>
      </c>
      <c r="C16" s="39">
        <f>SUMIF('2. Clean Data'!F3:F402,B16,'2. Clean Data'!L3:L402)</f>
        <v>9651719.7599999998</v>
      </c>
      <c r="D16" s="40">
        <f>COUNTIF('2. Clean Data'!F3:F402,B16)</f>
        <v>72</v>
      </c>
      <c r="N16" s="105"/>
      <c r="O16" s="105"/>
      <c r="P16" s="105"/>
      <c r="Q16" s="105"/>
      <c r="R16" s="105"/>
      <c r="S16" s="105"/>
      <c r="T16" s="105"/>
      <c r="U16" s="105"/>
      <c r="V16" s="105"/>
    </row>
    <row r="18" spans="2:22" ht="7.5" customHeight="1" x14ac:dyDescent="0.45"/>
    <row r="19" spans="2:22" ht="13.5" customHeight="1" x14ac:dyDescent="0.45">
      <c r="B19" s="106" t="s">
        <v>865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</row>
    <row r="20" spans="2:22" ht="13.5" customHeight="1" x14ac:dyDescent="0.45"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</row>
  </sheetData>
  <mergeCells count="14">
    <mergeCell ref="N11:V11"/>
    <mergeCell ref="N12:V16"/>
    <mergeCell ref="B19:V20"/>
    <mergeCell ref="B7:F8"/>
    <mergeCell ref="H7:L8"/>
    <mergeCell ref="M7:Q8"/>
    <mergeCell ref="R7:V8"/>
    <mergeCell ref="B10:V10"/>
    <mergeCell ref="B1:V2"/>
    <mergeCell ref="B3:V3"/>
    <mergeCell ref="B5:F6"/>
    <mergeCell ref="H5:L6"/>
    <mergeCell ref="M5:Q6"/>
    <mergeCell ref="R5:V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Start Here</vt:lpstr>
      <vt:lpstr>1. Raw Data</vt:lpstr>
      <vt:lpstr>2. Clean Data</vt:lpstr>
      <vt:lpstr>3. Analysis</vt:lpstr>
      <vt:lpstr>4. Pivot Summary</vt:lpstr>
      <vt:lpstr>5. Charts</vt:lpstr>
      <vt:lpstr>6.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 &amp; Banking Excel Portfolio Project</dc:title>
  <dc:subject/>
  <dc:creator>Data Analyst Portfolio</dc:creator>
  <dc:description/>
  <cp:lastModifiedBy>Admir Istrefi</cp:lastModifiedBy>
  <cp:revision>2</cp:revision>
  <dcterms:created xsi:type="dcterms:W3CDTF">2026-03-19T20:59:53Z</dcterms:created>
  <dcterms:modified xsi:type="dcterms:W3CDTF">2026-03-19T22:29:51Z</dcterms:modified>
  <dc:language>en-US</dc:language>
</cp:coreProperties>
</file>